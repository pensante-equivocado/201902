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B-USR-PT385-1406\Desktop\Cripto 17 05 2019\"/>
    </mc:Choice>
  </mc:AlternateContent>
  <bookViews>
    <workbookView xWindow="0" yWindow="0" windowWidth="28800" windowHeight="12435" activeTab="3"/>
  </bookViews>
  <sheets>
    <sheet name="BASE1" sheetId="6" r:id="rId1"/>
    <sheet name="BASE2" sheetId="2" r:id="rId2"/>
    <sheet name="EJERCICIO 1" sheetId="8" r:id="rId3"/>
    <sheet name="Hoja4" sheetId="9" r:id="rId4"/>
    <sheet name="Hoja2" sheetId="7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7" i="8" l="1"/>
  <c r="AM8" i="8"/>
  <c r="AM9" i="8"/>
  <c r="AM10" i="8"/>
  <c r="AM11" i="8"/>
  <c r="AM12" i="8"/>
  <c r="AM13" i="8"/>
  <c r="AM14" i="8"/>
  <c r="AM15" i="8"/>
  <c r="AM16" i="8"/>
  <c r="AM17" i="8"/>
  <c r="AM18" i="8"/>
  <c r="AM19" i="8"/>
  <c r="AM20" i="8"/>
  <c r="AM21" i="8"/>
  <c r="AM22" i="8"/>
  <c r="AM23" i="8"/>
  <c r="AM24" i="8"/>
  <c r="AM25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L24" i="8"/>
  <c r="AL25" i="8"/>
  <c r="AL6" i="8"/>
  <c r="AK25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24" i="8"/>
  <c r="AK6" i="8"/>
  <c r="AM6" i="8" s="1"/>
  <c r="AJ20" i="8"/>
  <c r="AJ19" i="8"/>
  <c r="AJ18" i="8"/>
  <c r="AJ17" i="8"/>
  <c r="AJ16" i="8"/>
  <c r="AJ15" i="8"/>
  <c r="AJ14" i="8"/>
  <c r="AJ7" i="8"/>
  <c r="AJ8" i="8"/>
  <c r="AJ9" i="8"/>
  <c r="AJ10" i="8"/>
  <c r="AJ11" i="8"/>
  <c r="AJ12" i="8"/>
  <c r="AJ13" i="8"/>
  <c r="AJ21" i="8"/>
  <c r="AJ22" i="8"/>
  <c r="AJ23" i="8"/>
  <c r="AJ24" i="8"/>
  <c r="AJ25" i="8"/>
  <c r="AJ6" i="8"/>
  <c r="AG23" i="8"/>
  <c r="AG22" i="8"/>
  <c r="AG14" i="8"/>
  <c r="AG8" i="8"/>
  <c r="AN7" i="8"/>
  <c r="AN15" i="8"/>
  <c r="AN23" i="8"/>
  <c r="AN8" i="8"/>
  <c r="AN16" i="8"/>
  <c r="AN24" i="8"/>
  <c r="AN20" i="8"/>
  <c r="AN13" i="8"/>
  <c r="AN14" i="8"/>
  <c r="AN9" i="8"/>
  <c r="AN17" i="8"/>
  <c r="AN25" i="8"/>
  <c r="AN10" i="8"/>
  <c r="AN18" i="8"/>
  <c r="AN11" i="8"/>
  <c r="AN19" i="8"/>
  <c r="AN12" i="8"/>
  <c r="AN21" i="8"/>
  <c r="AN22" i="8"/>
  <c r="AN6" i="8"/>
  <c r="W6" i="8"/>
  <c r="X6" i="8"/>
  <c r="Y6" i="8"/>
  <c r="Z6" i="8"/>
  <c r="AA6" i="8"/>
  <c r="AB6" i="8"/>
  <c r="Y7" i="8"/>
  <c r="W10" i="8"/>
  <c r="Y11" i="8"/>
  <c r="W14" i="8"/>
  <c r="Y15" i="8"/>
  <c r="W18" i="8"/>
  <c r="Y19" i="8"/>
  <c r="W22" i="8"/>
  <c r="Y23" i="8"/>
  <c r="X10" i="8"/>
  <c r="X14" i="8"/>
  <c r="X18" i="8"/>
  <c r="X22" i="8"/>
  <c r="W9" i="8"/>
  <c r="Y10" i="8"/>
  <c r="W13" i="8"/>
  <c r="Y14" i="8"/>
  <c r="W17" i="8"/>
  <c r="Y18" i="8"/>
  <c r="W21" i="8"/>
  <c r="Y22" i="8"/>
  <c r="W25" i="8"/>
  <c r="X9" i="8"/>
  <c r="Z10" i="8"/>
  <c r="X13" i="8"/>
  <c r="Z14" i="8"/>
  <c r="X17" i="8"/>
  <c r="AB17" i="8" s="1"/>
  <c r="Z18" i="8"/>
  <c r="X21" i="8"/>
  <c r="Z22" i="8"/>
  <c r="X25" i="8"/>
  <c r="W8" i="8"/>
  <c r="AA8" i="8" s="1"/>
  <c r="Y9" i="8"/>
  <c r="AA10" i="8"/>
  <c r="W12" i="8"/>
  <c r="AA12" i="8" s="1"/>
  <c r="Y13" i="8"/>
  <c r="AA14" i="8"/>
  <c r="W16" i="8"/>
  <c r="AA16" i="8" s="1"/>
  <c r="Y17" i="8"/>
  <c r="AA18" i="8"/>
  <c r="W20" i="8"/>
  <c r="AA20" i="8" s="1"/>
  <c r="Y21" i="8"/>
  <c r="AA22" i="8"/>
  <c r="W24" i="8"/>
  <c r="AA24" i="8" s="1"/>
  <c r="Y25" i="8"/>
  <c r="X8" i="8"/>
  <c r="AB8" i="8" s="1"/>
  <c r="Z9" i="8"/>
  <c r="AB10" i="8"/>
  <c r="X12" i="8"/>
  <c r="AB12" i="8" s="1"/>
  <c r="Z13" i="8"/>
  <c r="AB14" i="8"/>
  <c r="X16" i="8"/>
  <c r="AB16" i="8" s="1"/>
  <c r="Z17" i="8"/>
  <c r="AB18" i="8"/>
  <c r="X20" i="8"/>
  <c r="AB20" i="8" s="1"/>
  <c r="Z21" i="8"/>
  <c r="AB22" i="8"/>
  <c r="X24" i="8"/>
  <c r="AB24" i="8" s="1"/>
  <c r="Z25" i="8"/>
  <c r="W7" i="8"/>
  <c r="Y8" i="8"/>
  <c r="AA9" i="8"/>
  <c r="W11" i="8"/>
  <c r="Y12" i="8"/>
  <c r="AA13" i="8"/>
  <c r="W15" i="8"/>
  <c r="Y16" i="8"/>
  <c r="AA17" i="8"/>
  <c r="W19" i="8"/>
  <c r="Y20" i="8"/>
  <c r="AA21" i="8"/>
  <c r="W23" i="8"/>
  <c r="Y24" i="8"/>
  <c r="AA25" i="8"/>
  <c r="X7" i="8"/>
  <c r="AB7" i="8" s="1"/>
  <c r="Z8" i="8"/>
  <c r="AB9" i="8"/>
  <c r="X11" i="8"/>
  <c r="AB11" i="8" s="1"/>
  <c r="Z12" i="8"/>
  <c r="AB13" i="8"/>
  <c r="X15" i="8"/>
  <c r="AB15" i="8" s="1"/>
  <c r="Z16" i="8"/>
  <c r="X19" i="8"/>
  <c r="AB19" i="8" s="1"/>
  <c r="Z20" i="8"/>
  <c r="AB21" i="8"/>
  <c r="X23" i="8"/>
  <c r="AB23" i="8" s="1"/>
  <c r="Z24" i="8"/>
  <c r="AB25" i="8"/>
  <c r="Y10" i="6"/>
  <c r="Y9" i="6"/>
  <c r="W8" i="6"/>
  <c r="X8" i="6" s="1"/>
  <c r="AB8" i="6" s="1"/>
  <c r="W9" i="6"/>
  <c r="Y6" i="6"/>
  <c r="W10" i="6"/>
  <c r="AA8" i="6"/>
  <c r="Y7" i="6"/>
  <c r="W6" i="6"/>
  <c r="Z8" i="6"/>
  <c r="AA9" i="6"/>
  <c r="Y8" i="6"/>
  <c r="W7" i="6"/>
  <c r="Z7" i="6"/>
  <c r="W8" i="2"/>
  <c r="X8" i="2"/>
  <c r="W6" i="2"/>
  <c r="Z8" i="2"/>
  <c r="Y6" i="2"/>
  <c r="W7" i="2"/>
  <c r="Z6" i="2"/>
  <c r="AA7" i="2"/>
  <c r="X6" i="2"/>
  <c r="Y10" i="2"/>
  <c r="Z7" i="2"/>
  <c r="W9" i="2"/>
  <c r="AA9" i="2" s="1"/>
  <c r="Z9" i="2"/>
  <c r="AB6" i="2"/>
  <c r="Y8" i="2"/>
  <c r="X9" i="2"/>
  <c r="AB9" i="2" s="1"/>
  <c r="AB8" i="2"/>
  <c r="Y7" i="2"/>
  <c r="Y9" i="2"/>
  <c r="AA6" i="2"/>
  <c r="W10" i="2"/>
  <c r="X7" i="2"/>
  <c r="AB7" i="2" s="1"/>
  <c r="AA8" i="2"/>
  <c r="X10" i="2"/>
  <c r="AB10" i="2" s="1"/>
  <c r="Z10" i="2"/>
  <c r="AA10" i="2"/>
  <c r="X9" i="6"/>
  <c r="AB9" i="6" s="1"/>
  <c r="Z9" i="6"/>
  <c r="X10" i="6"/>
  <c r="AB10" i="6" s="1"/>
  <c r="Z10" i="6"/>
  <c r="AA10" i="6"/>
  <c r="X6" i="6"/>
  <c r="AB6" i="6" s="1"/>
  <c r="Z6" i="6"/>
  <c r="AA6" i="6"/>
  <c r="X7" i="6"/>
  <c r="AB7" i="6" s="1"/>
  <c r="AA7" i="6"/>
  <c r="AA7" i="8"/>
  <c r="Z7" i="8"/>
  <c r="AA11" i="8"/>
  <c r="Z11" i="8"/>
  <c r="AA15" i="8"/>
  <c r="Z15" i="8"/>
  <c r="AA19" i="8"/>
  <c r="Z19" i="8"/>
  <c r="AA23" i="8"/>
  <c r="Z23" i="8"/>
</calcChain>
</file>

<file path=xl/comments1.xml><?xml version="1.0" encoding="utf-8"?>
<comments xmlns="http://schemas.openxmlformats.org/spreadsheetml/2006/main">
  <authors>
    <author>Frank</author>
  </authors>
  <commentList>
    <comment ref="W5" authorId="0" shapeId="0">
      <text>
        <r>
          <rPr>
            <b/>
            <sz val="9"/>
            <color indexed="81"/>
            <rFont val="Tahoma"/>
            <charset val="1"/>
          </rPr>
          <t>Frank:</t>
        </r>
        <r>
          <rPr>
            <sz val="9"/>
            <color indexed="81"/>
            <rFont val="Tahoma"/>
            <charset val="1"/>
          </rPr>
          <t xml:space="preserve">
Hallar la posicion y letra donde cae en el reflector</t>
        </r>
      </text>
    </comment>
    <comment ref="X5" authorId="0" shapeId="0">
      <text>
        <r>
          <rPr>
            <b/>
            <sz val="9"/>
            <color indexed="81"/>
            <rFont val="Tahoma"/>
            <charset val="1"/>
          </rPr>
          <t>Frank:</t>
        </r>
        <r>
          <rPr>
            <sz val="9"/>
            <color indexed="81"/>
            <rFont val="Tahoma"/>
            <charset val="1"/>
          </rPr>
          <t xml:space="preserve">
Según la columna 1ra, buscara la otra posicion en el espejo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W5" authorId="0" shapeId="0">
      <text>
        <r>
          <rPr>
            <b/>
            <sz val="9"/>
            <color indexed="81"/>
            <rFont val="Tahoma"/>
            <charset val="1"/>
          </rPr>
          <t>Frank:</t>
        </r>
        <r>
          <rPr>
            <sz val="9"/>
            <color indexed="81"/>
            <rFont val="Tahoma"/>
            <charset val="1"/>
          </rPr>
          <t xml:space="preserve">
Hallar la posicion y letra donde cae en el reflector</t>
        </r>
      </text>
    </comment>
    <comment ref="X5" authorId="0" shapeId="0">
      <text>
        <r>
          <rPr>
            <b/>
            <sz val="9"/>
            <color indexed="81"/>
            <rFont val="Tahoma"/>
            <charset val="1"/>
          </rPr>
          <t>Frank:</t>
        </r>
        <r>
          <rPr>
            <sz val="9"/>
            <color indexed="81"/>
            <rFont val="Tahoma"/>
            <charset val="1"/>
          </rPr>
          <t xml:space="preserve">
Según la columna 1ra, buscara la otra posicion en el espejo</t>
        </r>
      </text>
    </comment>
  </commentList>
</comments>
</file>

<file path=xl/comments3.xml><?xml version="1.0" encoding="utf-8"?>
<comments xmlns="http://schemas.openxmlformats.org/spreadsheetml/2006/main">
  <authors>
    <author>Frank</author>
  </authors>
  <commentList>
    <comment ref="W5" authorId="0" shapeId="0">
      <text>
        <r>
          <rPr>
            <b/>
            <sz val="9"/>
            <color indexed="81"/>
            <rFont val="Tahoma"/>
            <charset val="1"/>
          </rPr>
          <t>Frank:</t>
        </r>
        <r>
          <rPr>
            <sz val="9"/>
            <color indexed="81"/>
            <rFont val="Tahoma"/>
            <charset val="1"/>
          </rPr>
          <t xml:space="preserve">
Hallar la posicion y letra donde cae en el reflector</t>
        </r>
      </text>
    </comment>
    <comment ref="X5" authorId="0" shapeId="0">
      <text>
        <r>
          <rPr>
            <b/>
            <sz val="9"/>
            <color indexed="81"/>
            <rFont val="Tahoma"/>
            <charset val="1"/>
          </rPr>
          <t>Frank:</t>
        </r>
        <r>
          <rPr>
            <sz val="9"/>
            <color indexed="81"/>
            <rFont val="Tahoma"/>
            <charset val="1"/>
          </rPr>
          <t xml:space="preserve">
Según la columna 1ra, buscara la otra posicion en el espejo</t>
        </r>
      </text>
    </comment>
  </commentList>
</comments>
</file>

<file path=xl/sharedStrings.xml><?xml version="1.0" encoding="utf-8"?>
<sst xmlns="http://schemas.openxmlformats.org/spreadsheetml/2006/main" count="918" uniqueCount="104">
  <si>
    <t>Input / Output</t>
  </si>
  <si>
    <t>Rotor 3</t>
  </si>
  <si>
    <t>Rotor 2</t>
  </si>
  <si>
    <t>Rotor 1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</si>
  <si>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</si>
  <si>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</si>
  <si>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</si>
  <si>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</si>
  <si>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</si>
  <si>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</si>
  <si>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</si>
  <si>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</si>
  <si>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</si>
  <si>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</si>
  <si>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</si>
  <si>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</si>
  <si>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</si>
  <si>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</si>
  <si>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</si>
  <si>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</si>
  <si>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</si>
  <si>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</si>
  <si>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</si>
  <si>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</si>
  <si>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</si>
  <si>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</si>
  <si>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</si>
  <si>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</si>
  <si>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</si>
  <si>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</si>
  <si>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Reflector</t>
  </si>
  <si>
    <t>Rotor1</t>
  </si>
  <si>
    <t>Rotor2</t>
  </si>
  <si>
    <t>Rotor3</t>
  </si>
  <si>
    <t>I/O</t>
  </si>
  <si>
    <t>Espejo</t>
  </si>
  <si>
    <t>POS</t>
  </si>
  <si>
    <t>Numero</t>
  </si>
  <si>
    <t>Inverso</t>
  </si>
  <si>
    <t>LETRAS</t>
  </si>
  <si>
    <t>1ra</t>
  </si>
  <si>
    <t>1ra Inversa</t>
  </si>
  <si>
    <t>1ra Duplicado</t>
  </si>
  <si>
    <t>1ra Duplicado Inversa</t>
  </si>
  <si>
    <t>Input / Output Original</t>
  </si>
  <si>
    <t>Input / Output Duplicado</t>
  </si>
  <si>
    <t>Rango a despejar</t>
  </si>
  <si>
    <t>Posicion requerida</t>
  </si>
  <si>
    <t>Duplicar desde la celda</t>
  </si>
  <si>
    <t>A35</t>
  </si>
  <si>
    <t>A5:S31</t>
  </si>
  <si>
    <t>espejo</t>
  </si>
  <si>
    <t>trama 3241</t>
  </si>
  <si>
    <t>orden ascendente</t>
  </si>
  <si>
    <t>numeros pares</t>
  </si>
  <si>
    <t>seguridad informatica</t>
  </si>
  <si>
    <t>IO</t>
  </si>
  <si>
    <t>abecedario</t>
  </si>
  <si>
    <t>inv</t>
  </si>
  <si>
    <t>SUMA con duplicado</t>
  </si>
  <si>
    <t>SUMA sin duplicado</t>
  </si>
  <si>
    <t>Posicion de la buscada</t>
  </si>
  <si>
    <t>Suma de los 3</t>
  </si>
  <si>
    <t>-26</t>
  </si>
  <si>
    <t>Letra en la posicion</t>
  </si>
  <si>
    <t>union</t>
  </si>
  <si>
    <t>Regreso</t>
  </si>
  <si>
    <t>asc</t>
  </si>
  <si>
    <t>interceptacion</t>
  </si>
  <si>
    <t>confidencialidad</t>
  </si>
  <si>
    <t>interrupcion</t>
  </si>
  <si>
    <t>disponibilidad</t>
  </si>
  <si>
    <t>modificacion</t>
  </si>
  <si>
    <t>integridad</t>
  </si>
  <si>
    <t>herramientas de seguridad</t>
  </si>
  <si>
    <t>IDS</t>
  </si>
  <si>
    <t>IPS</t>
  </si>
  <si>
    <t>SOC</t>
  </si>
  <si>
    <t>Centro de operaciones</t>
  </si>
  <si>
    <t>SIEM</t>
  </si>
  <si>
    <t>TLP</t>
  </si>
  <si>
    <t>filtra datos de u  punto a otro</t>
  </si>
  <si>
    <t>Firewall de transporte</t>
  </si>
  <si>
    <t>filtrado de aplicación</t>
  </si>
  <si>
    <t>firewall de aplicaciones</t>
  </si>
  <si>
    <t>firewall de capa datos</t>
  </si>
  <si>
    <t>controla los puertos</t>
  </si>
  <si>
    <t>servidor proxy</t>
  </si>
  <si>
    <t>controla acceso a dominios</t>
  </si>
  <si>
    <t>servidor proxy inverso</t>
  </si>
  <si>
    <t>protege los puntos de acceso</t>
  </si>
  <si>
    <t>enmascara direcciones ip</t>
  </si>
  <si>
    <t>firewall de direccion firewall  de traduccion</t>
  </si>
  <si>
    <t>firewall basado en host</t>
  </si>
  <si>
    <t>buenas practicas</t>
  </si>
  <si>
    <t>proteger conocer el valor de lo que protege ayuda a justificar los gastos de seguridad</t>
  </si>
  <si>
    <t>configura los roles de usuario y los niviueles de priviñlegio</t>
  </si>
  <si>
    <t>restringe el acceso a los centros de datos a las ubicaciones de servidores y extintores mediante seguridad fisica (usuario y contraseña)</t>
  </si>
  <si>
    <t>crea una politica que delinea las reglas de la empresa (politicS DE seguridad)</t>
  </si>
  <si>
    <t>los empleados deben ser correctamente investigados con comprbamncion de anrecedentes (medidas de rrhh)</t>
  </si>
  <si>
    <t>realice copías de respaldo peridoicas y pruebe los datos recueprados de la copias de respaldo</t>
  </si>
  <si>
    <t xml:space="preserve">actualie peridoicamente los servisores compu programas , istemas operativos </t>
  </si>
  <si>
    <t>implem4entqacion de conotroles de avceso(cuando confuguras los roles de usuario con niveles de acceos)</t>
  </si>
  <si>
    <t>ataque 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</si>
</sst>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CC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0</xdr:row>
          <xdr:rowOff>66675</xdr:rowOff>
        </xdr:from>
        <xdr:to>
          <xdr:col>12</xdr:col>
          <xdr:colOff>238125</xdr:colOff>
          <xdr:row>2</xdr:row>
          <xdr:rowOff>9525</xdr:rowOff>
        </xdr:to>
        <xdr:sp macro="" textlink="">
          <xdr:nvSpPr>
            <xdr:cNvPr id="7169" name="cmdRellenarAscendentemente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66675</xdr:rowOff>
        </xdr:from>
        <xdr:to>
          <xdr:col>16</xdr:col>
          <xdr:colOff>114300</xdr:colOff>
          <xdr:row>2</xdr:row>
          <xdr:rowOff>9525</xdr:rowOff>
        </xdr:to>
        <xdr:sp macro="" textlink="">
          <xdr:nvSpPr>
            <xdr:cNvPr id="7170" name="cmdRellenarDescendentemente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66675</xdr:rowOff>
        </xdr:from>
        <xdr:to>
          <xdr:col>10</xdr:col>
          <xdr:colOff>104775</xdr:colOff>
          <xdr:row>2</xdr:row>
          <xdr:rowOff>9525</xdr:rowOff>
        </xdr:to>
        <xdr:sp macro="" textlink="">
          <xdr:nvSpPr>
            <xdr:cNvPr id="7171" name="cmdDespejar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0</xdr:row>
          <xdr:rowOff>66675</xdr:rowOff>
        </xdr:from>
        <xdr:to>
          <xdr:col>12</xdr:col>
          <xdr:colOff>238125</xdr:colOff>
          <xdr:row>2</xdr:row>
          <xdr:rowOff>9525</xdr:rowOff>
        </xdr:to>
        <xdr:sp macro="" textlink="">
          <xdr:nvSpPr>
            <xdr:cNvPr id="3073" name="cmdRellenarAscendentement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66675</xdr:rowOff>
        </xdr:from>
        <xdr:to>
          <xdr:col>16</xdr:col>
          <xdr:colOff>114300</xdr:colOff>
          <xdr:row>2</xdr:row>
          <xdr:rowOff>9525</xdr:rowOff>
        </xdr:to>
        <xdr:sp macro="" textlink="">
          <xdr:nvSpPr>
            <xdr:cNvPr id="3074" name="cmdRellenarDescendentemen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66675</xdr:rowOff>
        </xdr:from>
        <xdr:to>
          <xdr:col>10</xdr:col>
          <xdr:colOff>104775</xdr:colOff>
          <xdr:row>2</xdr:row>
          <xdr:rowOff>9525</xdr:rowOff>
        </xdr:to>
        <xdr:sp macro="" textlink="">
          <xdr:nvSpPr>
            <xdr:cNvPr id="3077" name="cmdDespeja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0</xdr:row>
          <xdr:rowOff>66675</xdr:rowOff>
        </xdr:from>
        <xdr:to>
          <xdr:col>12</xdr:col>
          <xdr:colOff>238125</xdr:colOff>
          <xdr:row>2</xdr:row>
          <xdr:rowOff>9525</xdr:rowOff>
        </xdr:to>
        <xdr:sp macro="" textlink="">
          <xdr:nvSpPr>
            <xdr:cNvPr id="9217" name="cmdRellenarAscendentemente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66675</xdr:rowOff>
        </xdr:from>
        <xdr:to>
          <xdr:col>16</xdr:col>
          <xdr:colOff>114300</xdr:colOff>
          <xdr:row>2</xdr:row>
          <xdr:rowOff>9525</xdr:rowOff>
        </xdr:to>
        <xdr:sp macro="" textlink="">
          <xdr:nvSpPr>
            <xdr:cNvPr id="9218" name="cmdRellenarDescendentemente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66675</xdr:rowOff>
        </xdr:from>
        <xdr:to>
          <xdr:col>10</xdr:col>
          <xdr:colOff>104775</xdr:colOff>
          <xdr:row>2</xdr:row>
          <xdr:rowOff>9525</xdr:rowOff>
        </xdr:to>
        <xdr:sp macro="" textlink="">
          <xdr:nvSpPr>
            <xdr:cNvPr id="9219" name="cmdDespeja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Relationship Id="rId9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B32"/>
  <sheetViews>
    <sheetView showGridLines="0" workbookViewId="0">
      <selection activeCell="K14" sqref="K14"/>
    </sheetView>
  </sheetViews>
  <sheetFormatPr baseColWidth="10" defaultRowHeight="15" x14ac:dyDescent="0.25"/>
  <cols>
    <col min="1" max="1" width="7.5703125" customWidth="1"/>
    <col min="2" max="8" width="4.7109375" customWidth="1"/>
    <col min="9" max="10" width="7.5703125" customWidth="1"/>
    <col min="12" max="19" width="4.7109375" customWidth="1"/>
    <col min="21" max="24" width="8" customWidth="1"/>
    <col min="25" max="28" width="8.5703125" customWidth="1"/>
  </cols>
  <sheetData>
    <row r="1" spans="1:28" x14ac:dyDescent="0.25">
      <c r="A1" t="s">
        <v>46</v>
      </c>
      <c r="D1" t="s">
        <v>50</v>
      </c>
    </row>
    <row r="2" spans="1:28" x14ac:dyDescent="0.25">
      <c r="A2" t="s">
        <v>47</v>
      </c>
      <c r="D2">
        <v>1</v>
      </c>
    </row>
    <row r="3" spans="1:28" x14ac:dyDescent="0.25">
      <c r="A3" t="s">
        <v>48</v>
      </c>
      <c r="D3" t="s">
        <v>49</v>
      </c>
    </row>
    <row r="5" spans="1:28" ht="45" x14ac:dyDescent="0.25">
      <c r="A5" s="9" t="s">
        <v>0</v>
      </c>
      <c r="B5" s="9" t="s">
        <v>1</v>
      </c>
      <c r="C5" s="9"/>
      <c r="D5" s="9" t="s">
        <v>2</v>
      </c>
      <c r="E5" s="9"/>
      <c r="F5" s="9" t="s">
        <v>3</v>
      </c>
      <c r="G5" s="9"/>
      <c r="H5" s="9" t="s">
        <v>30</v>
      </c>
      <c r="I5" s="9" t="s">
        <v>37</v>
      </c>
      <c r="J5" s="9" t="s">
        <v>38</v>
      </c>
      <c r="K5" s="11"/>
      <c r="L5" s="9" t="s">
        <v>34</v>
      </c>
      <c r="M5" s="9" t="s">
        <v>33</v>
      </c>
      <c r="N5" s="9" t="s">
        <v>33</v>
      </c>
      <c r="O5" s="9" t="s">
        <v>32</v>
      </c>
      <c r="P5" s="9" t="s">
        <v>32</v>
      </c>
      <c r="Q5" s="9" t="s">
        <v>31</v>
      </c>
      <c r="R5" s="9" t="s">
        <v>31</v>
      </c>
      <c r="S5" s="9" t="s">
        <v>35</v>
      </c>
      <c r="T5" s="10"/>
      <c r="U5" s="9" t="s">
        <v>36</v>
      </c>
      <c r="V5" s="9" t="s">
        <v>39</v>
      </c>
      <c r="W5" s="9" t="s">
        <v>40</v>
      </c>
      <c r="X5" s="9" t="s">
        <v>42</v>
      </c>
      <c r="Y5" s="9" t="s">
        <v>41</v>
      </c>
      <c r="Z5" s="9" t="s">
        <v>43</v>
      </c>
      <c r="AA5" s="9" t="s">
        <v>44</v>
      </c>
      <c r="AB5" s="9" t="s">
        <v>45</v>
      </c>
    </row>
    <row r="6" spans="1:28" x14ac:dyDescent="0.25">
      <c r="A6" s="2" t="s">
        <v>17</v>
      </c>
      <c r="B6" s="3" t="s">
        <v>4</v>
      </c>
      <c r="C6" s="3" t="s">
        <v>4</v>
      </c>
      <c r="D6" s="4" t="s">
        <v>17</v>
      </c>
      <c r="E6" s="4" t="s">
        <v>17</v>
      </c>
      <c r="F6" s="5" t="s">
        <v>19</v>
      </c>
      <c r="G6" s="5" t="s">
        <v>29</v>
      </c>
      <c r="H6" s="2" t="s">
        <v>17</v>
      </c>
      <c r="I6" s="12">
        <v>1</v>
      </c>
      <c r="J6" s="12">
        <v>26</v>
      </c>
      <c r="L6" s="7"/>
      <c r="M6" s="7">
        <v>1</v>
      </c>
      <c r="N6" s="7">
        <v>1</v>
      </c>
      <c r="O6" s="7"/>
      <c r="P6" s="7"/>
      <c r="Q6" s="7"/>
      <c r="R6" s="7"/>
      <c r="S6" s="7"/>
      <c r="T6" s="1"/>
      <c r="U6" s="2">
        <v>1</v>
      </c>
      <c r="V6" s="2" t="s">
        <v>17</v>
      </c>
      <c r="W6" s="2" t="str">
        <f>ObtenerPrimera26(V6,$A$6:$J$31,$L$6:$S$31,U6)</f>
        <v>21-C</v>
      </c>
      <c r="X6" s="2" t="str">
        <f>ObtenerPrimeraDuplicado26(W6,$A$6:$J$31,$L$6:$S$10,U6)</f>
        <v>3-C</v>
      </c>
      <c r="Y6" s="2" t="str">
        <f>ObtenerPrimera26Inversa(V6,$A$6:$J$31,$L$6:$S$31,U6)</f>
        <v>6-C</v>
      </c>
      <c r="Z6" s="2" t="str">
        <f>ObtenerPrimeraDuplicado26Inversa(W6,$A$6:$J$31,$L$6:$S$10,U6)</f>
        <v>24-C</v>
      </c>
      <c r="AA6" s="2" t="str">
        <f>ObtenerSegundaDesdeOriginal26(W6,$A$6:$J$31,$L$6:$S$31,U6)</f>
        <v>17-Q</v>
      </c>
      <c r="AB6" s="2" t="str">
        <f>ObtenerSegundaDesdeDuplicado26(X6,$A$6:$J$31,$L$6:$S$31,U6)</f>
        <v>17-Q</v>
      </c>
    </row>
    <row r="7" spans="1:28" x14ac:dyDescent="0.25">
      <c r="A7" s="2" t="s">
        <v>18</v>
      </c>
      <c r="B7" s="3" t="s">
        <v>5</v>
      </c>
      <c r="C7" s="3" t="s">
        <v>15</v>
      </c>
      <c r="D7" s="4" t="s">
        <v>18</v>
      </c>
      <c r="E7" s="4" t="s">
        <v>26</v>
      </c>
      <c r="F7" s="5" t="s">
        <v>20</v>
      </c>
      <c r="G7" s="5" t="s">
        <v>22</v>
      </c>
      <c r="H7" s="2" t="s">
        <v>18</v>
      </c>
      <c r="I7" s="12">
        <v>2</v>
      </c>
      <c r="J7" s="12">
        <v>25</v>
      </c>
      <c r="L7" s="7"/>
      <c r="M7" s="7"/>
      <c r="N7" s="7"/>
      <c r="O7" s="7">
        <v>-3</v>
      </c>
      <c r="P7" s="7">
        <v>-3</v>
      </c>
      <c r="Q7" s="7"/>
      <c r="R7" s="7"/>
      <c r="S7" s="7"/>
      <c r="T7" s="1"/>
      <c r="U7" s="2">
        <v>2</v>
      </c>
      <c r="V7" s="2" t="s">
        <v>8</v>
      </c>
      <c r="W7" s="2" t="str">
        <f>ObtenerPrimera26(V7,$A$6:$J$31,$L$6:$S$31,U7)</f>
        <v>25-A</v>
      </c>
      <c r="X7" s="2" t="str">
        <f>ObtenerPrimeraDuplicado26(W7,$A$6:$J$31,$L$6:$S$10,U7)</f>
        <v>1-A</v>
      </c>
      <c r="Y7" s="2" t="str">
        <f>ObtenerPrimera26Inversa(V7,$A$6:$J$31,$L$6:$S$31,U7)</f>
        <v>2-A</v>
      </c>
      <c r="Z7" s="2" t="str">
        <f>ObtenerPrimeraDuplicado26Inversa(W7,$A$6:$J$31,$L$6:$S$10,U7)</f>
        <v>26-A</v>
      </c>
      <c r="AA7" s="2" t="str">
        <f>ObtenerSegundaDesdeOriginal26(W7,$A$6:$J$31,$L$6:$S$31,U7)</f>
        <v>2-B</v>
      </c>
      <c r="AB7" s="2" t="str">
        <f>ObtenerSegundaDesdeDuplicado26(X7,$A$6:$J$31,$L$6:$S$31,U7)</f>
        <v>2-B</v>
      </c>
    </row>
    <row r="8" spans="1:28" x14ac:dyDescent="0.25">
      <c r="A8" s="2" t="s">
        <v>19</v>
      </c>
      <c r="B8" s="3" t="s">
        <v>6</v>
      </c>
      <c r="C8" s="3" t="s">
        <v>21</v>
      </c>
      <c r="D8" s="4" t="s">
        <v>19</v>
      </c>
      <c r="E8" s="4" t="s">
        <v>20</v>
      </c>
      <c r="F8" s="5" t="s">
        <v>21</v>
      </c>
      <c r="G8" s="5" t="s">
        <v>28</v>
      </c>
      <c r="H8" s="2" t="s">
        <v>19</v>
      </c>
      <c r="I8" s="12">
        <v>3</v>
      </c>
      <c r="J8" s="12">
        <v>24</v>
      </c>
      <c r="L8" s="7"/>
      <c r="M8" s="7"/>
      <c r="N8" s="7"/>
      <c r="O8" s="7"/>
      <c r="P8" s="7"/>
      <c r="Q8" s="7">
        <v>5</v>
      </c>
      <c r="R8" s="7">
        <v>5</v>
      </c>
      <c r="S8" s="7"/>
      <c r="T8" s="1"/>
      <c r="U8" s="2">
        <v>3</v>
      </c>
      <c r="V8" s="2" t="s">
        <v>18</v>
      </c>
      <c r="W8" s="2" t="str">
        <f>ObtenerPrimera26(V8,$A$6:$J$31,$L$6:$S$31,U8)</f>
        <v>25-A</v>
      </c>
      <c r="X8" s="2" t="str">
        <f>ObtenerPrimeraDuplicado26(W8,$A$6:$J$31,$L$6:$S$10,U8)</f>
        <v>1-A</v>
      </c>
      <c r="Y8" s="2" t="str">
        <f>ObtenerPrimera26Inversa(V8,$A$6:$J$31,$L$6:$S$31,U8)</f>
        <v>2-A</v>
      </c>
      <c r="Z8" s="2" t="str">
        <f>ObtenerPrimeraDuplicado26Inversa(W8,$A$6:$J$31,$L$6:$S$10,U8)</f>
        <v>26-A</v>
      </c>
      <c r="AA8" s="2" t="str">
        <f>ObtenerSegundaDesdeOriginal26(W8,$A$6:$J$31,$L$6:$S$31,U8)</f>
        <v>26-Z</v>
      </c>
      <c r="AB8" s="2" t="str">
        <f>ObtenerSegundaDesdeDuplicado26(X8,$A$6:$J$31,$L$6:$S$31,U8)</f>
        <v>26-Z</v>
      </c>
    </row>
    <row r="9" spans="1:28" x14ac:dyDescent="0.25">
      <c r="A9" s="2" t="s">
        <v>20</v>
      </c>
      <c r="B9" s="3" t="s">
        <v>7</v>
      </c>
      <c r="C9" s="3" t="s">
        <v>25</v>
      </c>
      <c r="D9" s="4" t="s">
        <v>20</v>
      </c>
      <c r="E9" s="4" t="s">
        <v>27</v>
      </c>
      <c r="F9" s="5" t="s">
        <v>22</v>
      </c>
      <c r="G9" s="5" t="s">
        <v>23</v>
      </c>
      <c r="H9" s="2" t="s">
        <v>20</v>
      </c>
      <c r="I9" s="12">
        <v>4</v>
      </c>
      <c r="J9" s="12">
        <v>23</v>
      </c>
      <c r="L9" s="7"/>
      <c r="M9" s="7">
        <v>1</v>
      </c>
      <c r="N9" s="7">
        <v>1</v>
      </c>
      <c r="O9" s="7"/>
      <c r="P9" s="7"/>
      <c r="Q9" s="7"/>
      <c r="R9" s="7"/>
      <c r="S9" s="7"/>
      <c r="T9" s="1"/>
      <c r="U9" s="2">
        <v>4</v>
      </c>
      <c r="V9" s="2" t="s">
        <v>5</v>
      </c>
      <c r="W9" s="2" t="str">
        <f>ObtenerPrimera26(V9,$A$6:$J$31,$L$6:$S$31,U9)</f>
        <v>8-D</v>
      </c>
      <c r="X9" s="2" t="str">
        <f>ObtenerPrimeraDuplicado26(W9,$A$6:$J$31,$L$6:$S$10,U9)</f>
        <v>4-D</v>
      </c>
      <c r="Y9" s="2" t="str">
        <f>ObtenerPrimera26Inversa(V9,$A$6:$J$31,$L$6:$S$31,U9)</f>
        <v>19-D</v>
      </c>
      <c r="Z9" s="2" t="str">
        <f>ObtenerPrimeraDuplicado26Inversa(W9,$A$6:$J$31,$L$6:$S$10,U9)</f>
        <v>23-D</v>
      </c>
      <c r="AA9" s="2" t="str">
        <f>ObtenerSegundaDesdeOriginal26(W9,$A$6:$J$31,$L$6:$S$31,U9)</f>
        <v>26-Z</v>
      </c>
      <c r="AB9" s="2" t="str">
        <f>ObtenerSegundaDesdeDuplicado26(X9,$A$6:$J$31,$L$6:$S$31,U9)</f>
        <v>26-Z</v>
      </c>
    </row>
    <row r="10" spans="1:28" x14ac:dyDescent="0.25">
      <c r="A10" s="2" t="s">
        <v>21</v>
      </c>
      <c r="B10" s="3" t="s">
        <v>8</v>
      </c>
      <c r="C10" s="3" t="s">
        <v>13</v>
      </c>
      <c r="D10" s="4" t="s">
        <v>21</v>
      </c>
      <c r="E10" s="4" t="s">
        <v>9</v>
      </c>
      <c r="F10" s="5" t="s">
        <v>23</v>
      </c>
      <c r="G10" s="5" t="s">
        <v>20</v>
      </c>
      <c r="H10" s="2" t="s">
        <v>21</v>
      </c>
      <c r="I10" s="12">
        <v>5</v>
      </c>
      <c r="J10" s="12">
        <v>22</v>
      </c>
      <c r="L10" s="7"/>
      <c r="M10" s="7"/>
      <c r="N10" s="7"/>
      <c r="O10" s="7">
        <v>-3</v>
      </c>
      <c r="P10" s="7">
        <v>-3</v>
      </c>
      <c r="Q10" s="7"/>
      <c r="R10" s="7"/>
      <c r="S10" s="7"/>
      <c r="T10" s="1"/>
      <c r="U10" s="2">
        <v>5</v>
      </c>
      <c r="V10" s="2" t="s">
        <v>28</v>
      </c>
      <c r="W10" s="2" t="str">
        <f>ObtenerPrimera26(V10,$A$6:$J$31,$L$6:$S$31,U10)</f>
        <v>5-E</v>
      </c>
      <c r="X10" s="2" t="str">
        <f>ObtenerPrimeraDuplicado26(W10,$A$6:$J$31,$L$6:$S$10,U10)</f>
        <v>17-E</v>
      </c>
      <c r="Y10" s="2" t="str">
        <f>ObtenerPrimera26Inversa(V10,$A$6:$J$31,$L$6:$S$31,U10)</f>
        <v>22-E</v>
      </c>
      <c r="Z10" s="2" t="str">
        <f>ObtenerPrimeraDuplicado26Inversa(W10,$A$6:$J$31,$L$6:$S$10,U10)</f>
        <v>10-E</v>
      </c>
      <c r="AA10" s="2" t="str">
        <f>ObtenerSegundaDesdeOriginal26(W10,$A$6:$J$31,$L$6:$S$31,U10)</f>
        <v>22-V</v>
      </c>
      <c r="AB10" s="2" t="str">
        <f>ObtenerSegundaDesdeDuplicado26(X10,$A$6:$J$31,$L$6:$S$31,U10)</f>
        <v>22-V</v>
      </c>
    </row>
    <row r="11" spans="1:28" x14ac:dyDescent="0.25">
      <c r="A11" s="2" t="s">
        <v>22</v>
      </c>
      <c r="B11" s="3" t="s">
        <v>9</v>
      </c>
      <c r="C11" s="3" t="s">
        <v>23</v>
      </c>
      <c r="D11" s="4" t="s">
        <v>22</v>
      </c>
      <c r="E11" s="4" t="s">
        <v>25</v>
      </c>
      <c r="F11" s="5" t="s">
        <v>24</v>
      </c>
      <c r="G11" s="5" t="s">
        <v>7</v>
      </c>
      <c r="H11" s="2" t="s">
        <v>22</v>
      </c>
      <c r="I11" s="12">
        <v>6</v>
      </c>
      <c r="J11" s="12">
        <v>21</v>
      </c>
      <c r="L11" s="7"/>
      <c r="M11" s="7"/>
      <c r="N11" s="7"/>
      <c r="O11" s="7"/>
      <c r="P11" s="7"/>
      <c r="Q11" s="7">
        <v>5</v>
      </c>
      <c r="R11" s="7">
        <v>5</v>
      </c>
      <c r="S11" s="7"/>
      <c r="T11" s="1"/>
      <c r="U11" s="2">
        <v>6</v>
      </c>
      <c r="V11" s="2"/>
      <c r="W11" s="2"/>
      <c r="X11" s="2"/>
      <c r="Y11" s="2"/>
      <c r="Z11" s="2"/>
      <c r="AA11" s="2"/>
      <c r="AB11" s="2"/>
    </row>
    <row r="12" spans="1:28" x14ac:dyDescent="0.25">
      <c r="A12" s="2" t="s">
        <v>23</v>
      </c>
      <c r="B12" s="3" t="s">
        <v>10</v>
      </c>
      <c r="C12" s="3" t="s">
        <v>17</v>
      </c>
      <c r="D12" s="4" t="s">
        <v>23</v>
      </c>
      <c r="E12" s="4" t="s">
        <v>8</v>
      </c>
      <c r="F12" s="5" t="s">
        <v>25</v>
      </c>
      <c r="G12" s="5" t="s">
        <v>12</v>
      </c>
      <c r="H12" s="2" t="s">
        <v>23</v>
      </c>
      <c r="I12" s="12">
        <v>7</v>
      </c>
      <c r="J12" s="12">
        <v>20</v>
      </c>
      <c r="L12" s="7"/>
      <c r="M12" s="7"/>
      <c r="N12" s="7"/>
      <c r="O12" s="7"/>
      <c r="P12" s="7"/>
      <c r="Q12" s="7"/>
      <c r="R12" s="7"/>
      <c r="S12" s="7"/>
      <c r="T12" s="1"/>
      <c r="U12" s="2">
        <v>7</v>
      </c>
      <c r="V12" s="2"/>
      <c r="W12" s="2"/>
      <c r="X12" s="2"/>
      <c r="Y12" s="2"/>
      <c r="Z12" s="2"/>
      <c r="AA12" s="2"/>
      <c r="AB12" s="2"/>
    </row>
    <row r="13" spans="1:28" x14ac:dyDescent="0.25">
      <c r="A13" s="2" t="s">
        <v>24</v>
      </c>
      <c r="B13" s="3" t="s">
        <v>11</v>
      </c>
      <c r="C13" s="3" t="s">
        <v>27</v>
      </c>
      <c r="D13" s="4" t="s">
        <v>24</v>
      </c>
      <c r="E13" s="4" t="s">
        <v>11</v>
      </c>
      <c r="F13" s="5" t="s">
        <v>26</v>
      </c>
      <c r="G13" s="5" t="s">
        <v>16</v>
      </c>
      <c r="H13" s="2" t="s">
        <v>20</v>
      </c>
      <c r="I13" s="12">
        <v>8</v>
      </c>
      <c r="J13" s="12">
        <v>19</v>
      </c>
      <c r="L13" s="7"/>
      <c r="M13" s="7"/>
      <c r="N13" s="7"/>
      <c r="O13" s="7"/>
      <c r="P13" s="7"/>
      <c r="Q13" s="7"/>
      <c r="R13" s="7"/>
      <c r="S13" s="7"/>
      <c r="T13" s="1"/>
      <c r="U13" s="2">
        <v>8</v>
      </c>
      <c r="V13" s="2"/>
      <c r="W13" s="2"/>
      <c r="X13" s="2"/>
      <c r="Y13" s="2"/>
      <c r="Z13" s="2"/>
      <c r="AA13" s="2"/>
      <c r="AB13" s="2"/>
    </row>
    <row r="14" spans="1:28" x14ac:dyDescent="0.25">
      <c r="A14" s="2" t="s">
        <v>25</v>
      </c>
      <c r="B14" s="3" t="s">
        <v>12</v>
      </c>
      <c r="C14" s="3" t="s">
        <v>29</v>
      </c>
      <c r="D14" s="4" t="s">
        <v>25</v>
      </c>
      <c r="E14" s="4" t="s">
        <v>14</v>
      </c>
      <c r="F14" s="5" t="s">
        <v>27</v>
      </c>
      <c r="G14" s="5" t="s">
        <v>4</v>
      </c>
      <c r="H14" s="2" t="s">
        <v>25</v>
      </c>
      <c r="I14" s="12">
        <v>9</v>
      </c>
      <c r="J14" s="12">
        <v>18</v>
      </c>
      <c r="L14" s="7"/>
      <c r="M14" s="7"/>
      <c r="N14" s="7"/>
      <c r="O14" s="7"/>
      <c r="P14" s="7"/>
      <c r="Q14" s="7"/>
      <c r="R14" s="7"/>
      <c r="S14" s="7"/>
      <c r="T14" s="1"/>
      <c r="U14" s="2">
        <v>9</v>
      </c>
      <c r="V14" s="2"/>
      <c r="W14" s="2"/>
      <c r="X14" s="2"/>
      <c r="Y14" s="2"/>
      <c r="Z14" s="2"/>
      <c r="AA14" s="2"/>
      <c r="AB14" s="2"/>
    </row>
    <row r="15" spans="1:28" x14ac:dyDescent="0.25">
      <c r="A15" s="2" t="s">
        <v>26</v>
      </c>
      <c r="B15" s="3" t="s">
        <v>13</v>
      </c>
      <c r="C15" s="3" t="s">
        <v>11</v>
      </c>
      <c r="D15" s="4" t="s">
        <v>26</v>
      </c>
      <c r="E15" s="4" t="s">
        <v>18</v>
      </c>
      <c r="F15" s="5" t="s">
        <v>28</v>
      </c>
      <c r="G15" s="5" t="s">
        <v>10</v>
      </c>
      <c r="H15" s="2" t="s">
        <v>26</v>
      </c>
      <c r="I15" s="12">
        <v>10</v>
      </c>
      <c r="J15" s="12">
        <v>17</v>
      </c>
      <c r="L15" s="2"/>
      <c r="M15" s="2"/>
      <c r="N15" s="2"/>
      <c r="O15" s="2"/>
      <c r="P15" s="2"/>
      <c r="Q15" s="2"/>
      <c r="R15" s="2"/>
      <c r="S15" s="2"/>
      <c r="T15" s="1"/>
      <c r="U15" s="2">
        <v>10</v>
      </c>
      <c r="V15" s="2"/>
      <c r="W15" s="2"/>
      <c r="X15" s="2"/>
      <c r="Y15" s="2"/>
      <c r="Z15" s="2"/>
      <c r="AA15" s="2"/>
      <c r="AB15" s="2"/>
    </row>
    <row r="16" spans="1:28" x14ac:dyDescent="0.25">
      <c r="A16" s="2" t="s">
        <v>27</v>
      </c>
      <c r="B16" s="3" t="s">
        <v>14</v>
      </c>
      <c r="C16" s="3" t="s">
        <v>9</v>
      </c>
      <c r="D16" s="4" t="s">
        <v>27</v>
      </c>
      <c r="E16" s="4" t="s">
        <v>28</v>
      </c>
      <c r="F16" s="5" t="s">
        <v>29</v>
      </c>
      <c r="G16" s="5" t="s">
        <v>5</v>
      </c>
      <c r="H16" s="2" t="s">
        <v>27</v>
      </c>
      <c r="I16" s="12">
        <v>11</v>
      </c>
      <c r="J16" s="12">
        <v>16</v>
      </c>
      <c r="L16" s="2"/>
      <c r="M16" s="2"/>
      <c r="N16" s="2"/>
      <c r="O16" s="2"/>
      <c r="P16" s="2"/>
      <c r="Q16" s="2"/>
      <c r="R16" s="2"/>
      <c r="S16" s="2"/>
      <c r="T16" s="1"/>
      <c r="U16" s="2">
        <v>11</v>
      </c>
      <c r="V16" s="2"/>
      <c r="W16" s="2"/>
      <c r="X16" s="2"/>
      <c r="Y16" s="2"/>
      <c r="Z16" s="2"/>
      <c r="AA16" s="2"/>
      <c r="AB16" s="2"/>
    </row>
    <row r="17" spans="1:28" x14ac:dyDescent="0.25">
      <c r="A17" s="2" t="s">
        <v>28</v>
      </c>
      <c r="B17" s="3" t="s">
        <v>15</v>
      </c>
      <c r="C17" s="3" t="s">
        <v>7</v>
      </c>
      <c r="D17" s="4" t="s">
        <v>28</v>
      </c>
      <c r="E17" s="4" t="s">
        <v>24</v>
      </c>
      <c r="F17" s="5" t="s">
        <v>4</v>
      </c>
      <c r="G17" s="5" t="s">
        <v>13</v>
      </c>
      <c r="H17" s="2" t="s">
        <v>23</v>
      </c>
      <c r="I17" s="12">
        <v>12</v>
      </c>
      <c r="J17" s="12">
        <v>15</v>
      </c>
      <c r="L17" s="2"/>
      <c r="M17" s="2"/>
      <c r="N17" s="2"/>
      <c r="O17" s="2"/>
      <c r="P17" s="2"/>
      <c r="Q17" s="2"/>
      <c r="R17" s="2"/>
      <c r="S17" s="2"/>
      <c r="T17" s="1"/>
      <c r="U17" s="2">
        <v>12</v>
      </c>
      <c r="V17" s="2"/>
      <c r="W17" s="2"/>
      <c r="X17" s="2"/>
      <c r="Y17" s="2"/>
      <c r="Z17" s="2"/>
      <c r="AA17" s="2"/>
      <c r="AB17" s="2"/>
    </row>
    <row r="18" spans="1:28" x14ac:dyDescent="0.25">
      <c r="A18" s="2" t="s">
        <v>29</v>
      </c>
      <c r="B18" s="3" t="s">
        <v>16</v>
      </c>
      <c r="C18" s="3" t="s">
        <v>5</v>
      </c>
      <c r="D18" s="4" t="s">
        <v>29</v>
      </c>
      <c r="E18" s="4" t="s">
        <v>13</v>
      </c>
      <c r="F18" s="5" t="s">
        <v>5</v>
      </c>
      <c r="G18" s="5" t="s">
        <v>15</v>
      </c>
      <c r="H18" s="2" t="s">
        <v>29</v>
      </c>
      <c r="I18" s="12">
        <v>13</v>
      </c>
      <c r="J18" s="12">
        <v>14</v>
      </c>
      <c r="L18" s="2"/>
      <c r="M18" s="2"/>
      <c r="N18" s="2"/>
      <c r="O18" s="2"/>
      <c r="P18" s="2"/>
      <c r="Q18" s="2"/>
      <c r="R18" s="2"/>
      <c r="S18" s="2"/>
      <c r="T18" s="1"/>
      <c r="U18" s="2">
        <v>13</v>
      </c>
      <c r="V18" s="2"/>
      <c r="W18" s="2"/>
      <c r="X18" s="2"/>
      <c r="Y18" s="2"/>
      <c r="Z18" s="2"/>
      <c r="AA18" s="2"/>
      <c r="AB18" s="2"/>
    </row>
    <row r="19" spans="1:28" x14ac:dyDescent="0.25">
      <c r="A19" s="2" t="s">
        <v>4</v>
      </c>
      <c r="B19" s="3" t="s">
        <v>17</v>
      </c>
      <c r="C19" s="3" t="s">
        <v>18</v>
      </c>
      <c r="D19" s="4" t="s">
        <v>4</v>
      </c>
      <c r="E19" s="4" t="s">
        <v>10</v>
      </c>
      <c r="F19" s="5" t="s">
        <v>6</v>
      </c>
      <c r="G19" s="5" t="s">
        <v>24</v>
      </c>
      <c r="H19" s="2" t="s">
        <v>27</v>
      </c>
      <c r="I19" s="12">
        <v>14</v>
      </c>
      <c r="J19" s="12">
        <v>13</v>
      </c>
      <c r="L19" s="2"/>
      <c r="M19" s="2"/>
      <c r="N19" s="2"/>
      <c r="O19" s="2"/>
      <c r="P19" s="2"/>
      <c r="Q19" s="2"/>
      <c r="R19" s="2"/>
      <c r="S19" s="2"/>
      <c r="T19" s="1"/>
      <c r="U19" s="2">
        <v>14</v>
      </c>
      <c r="V19" s="2"/>
      <c r="W19" s="2"/>
      <c r="X19" s="2"/>
      <c r="Y19" s="2"/>
      <c r="Z19" s="2"/>
      <c r="AA19" s="2"/>
      <c r="AB19" s="2"/>
    </row>
    <row r="20" spans="1:28" x14ac:dyDescent="0.25">
      <c r="A20" s="2" t="s">
        <v>5</v>
      </c>
      <c r="B20" s="3" t="s">
        <v>18</v>
      </c>
      <c r="C20" s="3" t="s">
        <v>20</v>
      </c>
      <c r="D20" s="4" t="s">
        <v>5</v>
      </c>
      <c r="E20" s="4" t="s">
        <v>29</v>
      </c>
      <c r="F20" s="5" t="s">
        <v>7</v>
      </c>
      <c r="G20" s="5" t="s">
        <v>14</v>
      </c>
      <c r="H20" s="2" t="s">
        <v>29</v>
      </c>
      <c r="I20" s="12">
        <v>15</v>
      </c>
      <c r="J20" s="12">
        <v>12</v>
      </c>
      <c r="L20" s="2"/>
      <c r="M20" s="2"/>
      <c r="N20" s="2"/>
      <c r="O20" s="2"/>
      <c r="P20" s="2"/>
      <c r="Q20" s="2"/>
      <c r="R20" s="2"/>
      <c r="S20" s="2"/>
      <c r="T20" s="1"/>
      <c r="U20" s="2">
        <v>15</v>
      </c>
      <c r="V20" s="2"/>
      <c r="W20" s="2"/>
      <c r="X20" s="2"/>
      <c r="Y20" s="2"/>
      <c r="Z20" s="2"/>
      <c r="AA20" s="2"/>
      <c r="AB20" s="2"/>
    </row>
    <row r="21" spans="1:28" x14ac:dyDescent="0.25">
      <c r="A21" s="2" t="s">
        <v>6</v>
      </c>
      <c r="B21" s="3" t="s">
        <v>19</v>
      </c>
      <c r="C21" s="3" t="s">
        <v>22</v>
      </c>
      <c r="D21" s="4" t="s">
        <v>6</v>
      </c>
      <c r="E21" s="4" t="s">
        <v>19</v>
      </c>
      <c r="F21" s="5" t="s">
        <v>8</v>
      </c>
      <c r="G21" s="5" t="s">
        <v>11</v>
      </c>
      <c r="H21" s="2" t="s">
        <v>25</v>
      </c>
      <c r="I21" s="12">
        <v>16</v>
      </c>
      <c r="J21" s="12">
        <v>11</v>
      </c>
      <c r="L21" s="2"/>
      <c r="M21" s="2"/>
      <c r="N21" s="2"/>
      <c r="O21" s="2"/>
      <c r="P21" s="2"/>
      <c r="Q21" s="2"/>
      <c r="R21" s="2"/>
      <c r="S21" s="2"/>
      <c r="T21" s="1"/>
      <c r="U21" s="2">
        <v>16</v>
      </c>
      <c r="V21" s="2"/>
      <c r="W21" s="2"/>
      <c r="X21" s="2"/>
      <c r="Y21" s="2"/>
      <c r="Z21" s="2"/>
      <c r="AA21" s="2"/>
      <c r="AB21" s="2"/>
    </row>
    <row r="22" spans="1:28" x14ac:dyDescent="0.25">
      <c r="A22" s="2" t="s">
        <v>7</v>
      </c>
      <c r="B22" s="3" t="s">
        <v>20</v>
      </c>
      <c r="C22" s="3" t="s">
        <v>24</v>
      </c>
      <c r="D22" s="4" t="s">
        <v>7</v>
      </c>
      <c r="E22" s="4" t="s">
        <v>7</v>
      </c>
      <c r="F22" s="5" t="s">
        <v>9</v>
      </c>
      <c r="G22" s="5" t="s">
        <v>9</v>
      </c>
      <c r="H22" s="2" t="s">
        <v>21</v>
      </c>
      <c r="I22" s="12">
        <v>17</v>
      </c>
      <c r="J22" s="12">
        <v>10</v>
      </c>
      <c r="L22" s="2"/>
      <c r="M22" s="2"/>
      <c r="N22" s="2"/>
      <c r="O22" s="2"/>
      <c r="P22" s="2"/>
      <c r="Q22" s="2"/>
      <c r="R22" s="2"/>
      <c r="S22" s="2"/>
      <c r="T22" s="1"/>
      <c r="U22" s="2">
        <v>17</v>
      </c>
      <c r="V22" s="2"/>
      <c r="W22" s="2"/>
      <c r="X22" s="2"/>
      <c r="Y22" s="2"/>
      <c r="Z22" s="2"/>
      <c r="AA22" s="2"/>
      <c r="AB22" s="2"/>
    </row>
    <row r="23" spans="1:28" x14ac:dyDescent="0.25">
      <c r="A23" s="2" t="s">
        <v>8</v>
      </c>
      <c r="B23" s="3" t="s">
        <v>21</v>
      </c>
      <c r="C23" s="3" t="s">
        <v>26</v>
      </c>
      <c r="D23" s="4" t="s">
        <v>8</v>
      </c>
      <c r="E23" s="4" t="s">
        <v>23</v>
      </c>
      <c r="F23" s="5" t="s">
        <v>10</v>
      </c>
      <c r="G23" s="5" t="s">
        <v>6</v>
      </c>
      <c r="H23" s="2" t="s">
        <v>18</v>
      </c>
      <c r="I23" s="12">
        <v>18</v>
      </c>
      <c r="J23" s="12">
        <v>9</v>
      </c>
      <c r="L23" s="2"/>
      <c r="M23" s="2"/>
      <c r="N23" s="2"/>
      <c r="O23" s="2"/>
      <c r="P23" s="2"/>
      <c r="Q23" s="2"/>
      <c r="R23" s="2"/>
      <c r="S23" s="2"/>
      <c r="T23" s="1"/>
      <c r="U23" s="2">
        <v>18</v>
      </c>
      <c r="V23" s="2"/>
      <c r="W23" s="2"/>
      <c r="X23" s="2"/>
      <c r="Y23" s="2"/>
      <c r="Z23" s="2"/>
      <c r="AA23" s="2"/>
      <c r="AB23" s="2"/>
    </row>
    <row r="24" spans="1:28" x14ac:dyDescent="0.25">
      <c r="A24" s="2" t="s">
        <v>9</v>
      </c>
      <c r="B24" s="3" t="s">
        <v>22</v>
      </c>
      <c r="C24" s="3" t="s">
        <v>28</v>
      </c>
      <c r="D24" s="4" t="s">
        <v>9</v>
      </c>
      <c r="E24" s="4" t="s">
        <v>16</v>
      </c>
      <c r="F24" s="5" t="s">
        <v>11</v>
      </c>
      <c r="G24" s="5" t="s">
        <v>17</v>
      </c>
      <c r="H24" s="2" t="s">
        <v>22</v>
      </c>
      <c r="I24" s="12">
        <v>19</v>
      </c>
      <c r="J24" s="12">
        <v>8</v>
      </c>
      <c r="L24" s="2"/>
      <c r="M24" s="2"/>
      <c r="N24" s="2"/>
      <c r="O24" s="2"/>
      <c r="P24" s="2"/>
      <c r="Q24" s="2"/>
      <c r="R24" s="2"/>
      <c r="S24" s="2"/>
      <c r="T24" s="1"/>
      <c r="U24" s="2">
        <v>19</v>
      </c>
      <c r="V24" s="2"/>
      <c r="W24" s="2"/>
      <c r="X24" s="2"/>
      <c r="Y24" s="2"/>
      <c r="Z24" s="2"/>
      <c r="AA24" s="2"/>
      <c r="AB24" s="2"/>
    </row>
    <row r="25" spans="1:28" x14ac:dyDescent="0.25">
      <c r="A25" s="2" t="s">
        <v>10</v>
      </c>
      <c r="B25" s="3" t="s">
        <v>23</v>
      </c>
      <c r="C25" s="3" t="s">
        <v>19</v>
      </c>
      <c r="D25" s="4" t="s">
        <v>10</v>
      </c>
      <c r="E25" s="4" t="s">
        <v>4</v>
      </c>
      <c r="F25" s="5" t="s">
        <v>12</v>
      </c>
      <c r="G25" s="5" t="s">
        <v>25</v>
      </c>
      <c r="H25" s="2" t="s">
        <v>10</v>
      </c>
      <c r="I25" s="12">
        <v>20</v>
      </c>
      <c r="J25" s="12">
        <v>7</v>
      </c>
      <c r="L25" s="2"/>
      <c r="M25" s="2"/>
      <c r="N25" s="2"/>
      <c r="O25" s="2"/>
      <c r="P25" s="2"/>
      <c r="Q25" s="2"/>
      <c r="R25" s="2"/>
      <c r="S25" s="2"/>
      <c r="T25" s="1"/>
      <c r="U25" s="2">
        <v>20</v>
      </c>
      <c r="V25" s="2"/>
      <c r="W25" s="2"/>
      <c r="X25" s="2"/>
      <c r="Y25" s="2"/>
      <c r="Z25" s="2"/>
      <c r="AA25" s="2"/>
      <c r="AB25" s="2"/>
    </row>
    <row r="26" spans="1:28" x14ac:dyDescent="0.25">
      <c r="A26" s="2" t="s">
        <v>11</v>
      </c>
      <c r="B26" s="3" t="s">
        <v>24</v>
      </c>
      <c r="C26" s="3" t="s">
        <v>6</v>
      </c>
      <c r="D26" s="4" t="s">
        <v>11</v>
      </c>
      <c r="E26" s="4" t="s">
        <v>6</v>
      </c>
      <c r="F26" s="5" t="s">
        <v>13</v>
      </c>
      <c r="G26" s="5" t="s">
        <v>18</v>
      </c>
      <c r="H26" s="2" t="s">
        <v>19</v>
      </c>
      <c r="I26" s="12">
        <v>21</v>
      </c>
      <c r="J26" s="12">
        <v>6</v>
      </c>
      <c r="L26" s="2"/>
      <c r="M26" s="2"/>
      <c r="N26" s="2"/>
      <c r="O26" s="2"/>
      <c r="P26" s="2"/>
      <c r="Q26" s="2"/>
      <c r="R26" s="2"/>
      <c r="S26" s="2"/>
      <c r="T26" s="1"/>
      <c r="U26" s="2">
        <v>21</v>
      </c>
      <c r="V26" s="2"/>
      <c r="W26" s="2"/>
      <c r="X26" s="2"/>
      <c r="Y26" s="2"/>
      <c r="Z26" s="2"/>
      <c r="AA26" s="2"/>
      <c r="AB26" s="2"/>
    </row>
    <row r="27" spans="1:28" x14ac:dyDescent="0.25">
      <c r="A27" s="2" t="s">
        <v>12</v>
      </c>
      <c r="B27" s="3" t="s">
        <v>25</v>
      </c>
      <c r="C27" s="3" t="s">
        <v>8</v>
      </c>
      <c r="D27" s="4" t="s">
        <v>12</v>
      </c>
      <c r="E27" s="4" t="s">
        <v>15</v>
      </c>
      <c r="F27" s="5" t="s">
        <v>14</v>
      </c>
      <c r="G27" s="5" t="s">
        <v>8</v>
      </c>
      <c r="H27" s="2" t="s">
        <v>12</v>
      </c>
      <c r="I27" s="12">
        <v>22</v>
      </c>
      <c r="J27" s="12">
        <v>5</v>
      </c>
      <c r="L27" s="2"/>
      <c r="M27" s="2"/>
      <c r="N27" s="2"/>
      <c r="O27" s="2"/>
      <c r="P27" s="2"/>
      <c r="Q27" s="2"/>
      <c r="R27" s="2"/>
      <c r="S27" s="2"/>
      <c r="T27" s="1"/>
      <c r="U27" s="2">
        <v>22</v>
      </c>
      <c r="V27" s="2"/>
      <c r="W27" s="2"/>
      <c r="X27" s="2"/>
      <c r="Y27" s="2"/>
      <c r="Z27" s="2"/>
      <c r="AA27" s="2"/>
      <c r="AB27" s="2"/>
    </row>
    <row r="28" spans="1:28" x14ac:dyDescent="0.25">
      <c r="A28" s="2" t="s">
        <v>13</v>
      </c>
      <c r="B28" s="3" t="s">
        <v>26</v>
      </c>
      <c r="C28" s="3" t="s">
        <v>10</v>
      </c>
      <c r="D28" s="4" t="s">
        <v>13</v>
      </c>
      <c r="E28" s="4" t="s">
        <v>22</v>
      </c>
      <c r="F28" s="5" t="s">
        <v>15</v>
      </c>
      <c r="G28" s="5" t="s">
        <v>19</v>
      </c>
      <c r="H28" s="2" t="s">
        <v>12</v>
      </c>
      <c r="I28" s="12">
        <v>23</v>
      </c>
      <c r="J28" s="12">
        <v>4</v>
      </c>
      <c r="L28" s="2"/>
      <c r="M28" s="2"/>
      <c r="N28" s="2"/>
      <c r="O28" s="2"/>
      <c r="P28" s="2"/>
      <c r="Q28" s="2"/>
      <c r="R28" s="2"/>
      <c r="S28" s="2"/>
      <c r="T28" s="1"/>
      <c r="U28" s="2">
        <v>23</v>
      </c>
      <c r="V28" s="2"/>
      <c r="W28" s="2"/>
      <c r="X28" s="2"/>
      <c r="Y28" s="2"/>
      <c r="Z28" s="2"/>
      <c r="AA28" s="2"/>
      <c r="AB28" s="2"/>
    </row>
    <row r="29" spans="1:28" x14ac:dyDescent="0.25">
      <c r="A29" s="2" t="s">
        <v>14</v>
      </c>
      <c r="B29" s="3" t="s">
        <v>27</v>
      </c>
      <c r="C29" s="3" t="s">
        <v>14</v>
      </c>
      <c r="D29" s="4" t="s">
        <v>14</v>
      </c>
      <c r="E29" s="4" t="s">
        <v>12</v>
      </c>
      <c r="F29" s="5" t="s">
        <v>16</v>
      </c>
      <c r="G29" s="5" t="s">
        <v>26</v>
      </c>
      <c r="H29" s="2" t="s">
        <v>26</v>
      </c>
      <c r="I29" s="12">
        <v>24</v>
      </c>
      <c r="J29" s="12">
        <v>3</v>
      </c>
      <c r="L29" s="2"/>
      <c r="M29" s="2"/>
      <c r="N29" s="2"/>
      <c r="O29" s="2"/>
      <c r="P29" s="2"/>
      <c r="Q29" s="2"/>
      <c r="R29" s="2"/>
      <c r="S29" s="2"/>
      <c r="T29" s="1"/>
      <c r="U29" s="2">
        <v>24</v>
      </c>
      <c r="V29" s="2"/>
      <c r="W29" s="2"/>
      <c r="X29" s="2"/>
      <c r="Y29" s="2"/>
      <c r="Z29" s="2"/>
      <c r="AA29" s="2"/>
      <c r="AB29" s="2"/>
    </row>
    <row r="30" spans="1:28" x14ac:dyDescent="0.25">
      <c r="A30" s="2" t="s">
        <v>15</v>
      </c>
      <c r="B30" s="3" t="s">
        <v>28</v>
      </c>
      <c r="C30" s="3" t="s">
        <v>12</v>
      </c>
      <c r="D30" s="4" t="s">
        <v>15</v>
      </c>
      <c r="E30" s="4" t="s">
        <v>5</v>
      </c>
      <c r="F30" s="5" t="s">
        <v>17</v>
      </c>
      <c r="G30" s="5" t="s">
        <v>21</v>
      </c>
      <c r="H30" s="2" t="s">
        <v>17</v>
      </c>
      <c r="I30" s="12">
        <v>25</v>
      </c>
      <c r="J30" s="12">
        <v>2</v>
      </c>
      <c r="L30" s="2"/>
      <c r="M30" s="2"/>
      <c r="N30" s="2"/>
      <c r="O30" s="2"/>
      <c r="P30" s="2"/>
      <c r="Q30" s="2"/>
      <c r="R30" s="2"/>
      <c r="S30" s="2"/>
      <c r="T30" s="1"/>
      <c r="U30" s="2">
        <v>25</v>
      </c>
      <c r="V30" s="2"/>
      <c r="W30" s="2"/>
      <c r="X30" s="2"/>
      <c r="Y30" s="2"/>
      <c r="Z30" s="2"/>
      <c r="AA30" s="2"/>
      <c r="AB30" s="2"/>
    </row>
    <row r="31" spans="1:28" x14ac:dyDescent="0.25">
      <c r="A31" s="2" t="s">
        <v>16</v>
      </c>
      <c r="B31" s="3" t="s">
        <v>29</v>
      </c>
      <c r="C31" s="3" t="s">
        <v>16</v>
      </c>
      <c r="D31" s="4" t="s">
        <v>16</v>
      </c>
      <c r="E31" s="4" t="s">
        <v>21</v>
      </c>
      <c r="F31" s="5" t="s">
        <v>18</v>
      </c>
      <c r="G31" s="5" t="s">
        <v>27</v>
      </c>
      <c r="H31" s="2" t="s">
        <v>10</v>
      </c>
      <c r="I31" s="12">
        <v>26</v>
      </c>
      <c r="J31" s="12">
        <v>1</v>
      </c>
      <c r="L31" s="2"/>
      <c r="M31" s="2"/>
      <c r="N31" s="2"/>
      <c r="O31" s="2"/>
      <c r="P31" s="2"/>
      <c r="Q31" s="2"/>
      <c r="R31" s="2"/>
      <c r="S31" s="2"/>
      <c r="T31" s="1"/>
      <c r="U31" s="2">
        <v>26</v>
      </c>
      <c r="V31" s="2"/>
      <c r="W31" s="2"/>
      <c r="X31" s="2"/>
      <c r="Y31" s="2"/>
      <c r="Z31" s="2"/>
      <c r="AA31" s="2"/>
      <c r="AB31" s="2"/>
    </row>
    <row r="32" spans="1:28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1" r:id="rId3" name="cmdDespejar">
          <controlPr defaultSize="0" autoLine="0" autoPict="0" r:id="rId4">
            <anchor moveWithCells="1">
              <from>
                <xdr:col>8</xdr:col>
                <xdr:colOff>19050</xdr:colOff>
                <xdr:row>0</xdr:row>
                <xdr:rowOff>66675</xdr:rowOff>
              </from>
              <to>
                <xdr:col>10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7171" r:id="rId3" name="cmdDespejar"/>
      </mc:Fallback>
    </mc:AlternateContent>
    <mc:AlternateContent xmlns:mc="http://schemas.openxmlformats.org/markup-compatibility/2006">
      <mc:Choice Requires="x14">
        <control shapeId="7170" r:id="rId5" name="cmdRellenarDescendentemente">
          <controlPr defaultSize="0" autoLine="0" autoPict="0" r:id="rId6">
            <anchor moveWithCells="1">
              <from>
                <xdr:col>12</xdr:col>
                <xdr:colOff>314325</xdr:colOff>
                <xdr:row>0</xdr:row>
                <xdr:rowOff>66675</xdr:rowOff>
              </from>
              <to>
                <xdr:col>16</xdr:col>
                <xdr:colOff>114300</xdr:colOff>
                <xdr:row>2</xdr:row>
                <xdr:rowOff>9525</xdr:rowOff>
              </to>
            </anchor>
          </controlPr>
        </control>
      </mc:Choice>
      <mc:Fallback>
        <control shapeId="7170" r:id="rId5" name="cmdRellenarDescendentemente"/>
      </mc:Fallback>
    </mc:AlternateContent>
    <mc:AlternateContent xmlns:mc="http://schemas.openxmlformats.org/markup-compatibility/2006">
      <mc:Choice Requires="x14">
        <control shapeId="7169" r:id="rId7" name="cmdRellenarAscendentemente">
          <controlPr defaultSize="0" autoLine="0" autoPict="0" r:id="rId8">
            <anchor moveWithCells="1">
              <from>
                <xdr:col>10</xdr:col>
                <xdr:colOff>190500</xdr:colOff>
                <xdr:row>0</xdr:row>
                <xdr:rowOff>66675</xdr:rowOff>
              </from>
              <to>
                <xdr:col>12</xdr:col>
                <xdr:colOff>238125</xdr:colOff>
                <xdr:row>2</xdr:row>
                <xdr:rowOff>9525</xdr:rowOff>
              </to>
            </anchor>
          </controlPr>
        </control>
      </mc:Choice>
      <mc:Fallback>
        <control shapeId="7169" r:id="rId7" name="cmdRellenarAscendentemen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B32"/>
  <sheetViews>
    <sheetView showGridLines="0" workbookViewId="0">
      <selection activeCell="AC6" sqref="AC6"/>
    </sheetView>
  </sheetViews>
  <sheetFormatPr baseColWidth="10" defaultRowHeight="15" x14ac:dyDescent="0.25"/>
  <cols>
    <col min="1" max="1" width="7.5703125" customWidth="1"/>
    <col min="2" max="8" width="4.7109375" customWidth="1"/>
    <col min="9" max="10" width="7.5703125" customWidth="1"/>
    <col min="12" max="19" width="4.7109375" customWidth="1"/>
    <col min="21" max="24" width="8" customWidth="1"/>
    <col min="25" max="28" width="8.5703125" customWidth="1"/>
  </cols>
  <sheetData>
    <row r="1" spans="1:28" x14ac:dyDescent="0.25">
      <c r="A1" t="s">
        <v>46</v>
      </c>
      <c r="D1" t="s">
        <v>50</v>
      </c>
    </row>
    <row r="2" spans="1:28" x14ac:dyDescent="0.25">
      <c r="A2" t="s">
        <v>47</v>
      </c>
      <c r="D2">
        <v>1</v>
      </c>
    </row>
    <row r="3" spans="1:28" x14ac:dyDescent="0.25">
      <c r="A3" t="s">
        <v>48</v>
      </c>
      <c r="D3" t="s">
        <v>49</v>
      </c>
    </row>
    <row r="5" spans="1:28" ht="45" x14ac:dyDescent="0.25">
      <c r="A5" s="9" t="s">
        <v>0</v>
      </c>
      <c r="B5" s="9" t="s">
        <v>1</v>
      </c>
      <c r="C5" s="9"/>
      <c r="D5" s="9" t="s">
        <v>2</v>
      </c>
      <c r="E5" s="9"/>
      <c r="F5" s="9" t="s">
        <v>3</v>
      </c>
      <c r="G5" s="9"/>
      <c r="H5" s="9" t="s">
        <v>30</v>
      </c>
      <c r="I5" s="9" t="s">
        <v>37</v>
      </c>
      <c r="J5" s="9" t="s">
        <v>38</v>
      </c>
      <c r="K5" s="11"/>
      <c r="L5" s="9" t="s">
        <v>34</v>
      </c>
      <c r="M5" s="9" t="s">
        <v>33</v>
      </c>
      <c r="N5" s="9" t="s">
        <v>33</v>
      </c>
      <c r="O5" s="9" t="s">
        <v>32</v>
      </c>
      <c r="P5" s="9" t="s">
        <v>32</v>
      </c>
      <c r="Q5" s="9" t="s">
        <v>31</v>
      </c>
      <c r="R5" s="9" t="s">
        <v>31</v>
      </c>
      <c r="S5" s="9" t="s">
        <v>35</v>
      </c>
      <c r="T5" s="10"/>
      <c r="U5" s="9" t="s">
        <v>36</v>
      </c>
      <c r="V5" s="9" t="s">
        <v>39</v>
      </c>
      <c r="W5" s="9" t="s">
        <v>40</v>
      </c>
      <c r="X5" s="9" t="s">
        <v>42</v>
      </c>
      <c r="Y5" s="9" t="s">
        <v>41</v>
      </c>
      <c r="Z5" s="9" t="s">
        <v>43</v>
      </c>
      <c r="AA5" s="9" t="s">
        <v>44</v>
      </c>
      <c r="AB5" s="9" t="s">
        <v>45</v>
      </c>
    </row>
    <row r="6" spans="1:28" x14ac:dyDescent="0.25">
      <c r="A6" s="2" t="s">
        <v>17</v>
      </c>
      <c r="B6" s="3" t="s">
        <v>29</v>
      </c>
      <c r="C6" s="3" t="s">
        <v>5</v>
      </c>
      <c r="D6" s="4" t="s">
        <v>17</v>
      </c>
      <c r="E6" s="4" t="s">
        <v>17</v>
      </c>
      <c r="F6" s="5" t="s">
        <v>19</v>
      </c>
      <c r="G6" s="5" t="s">
        <v>22</v>
      </c>
      <c r="H6" s="2" t="s">
        <v>17</v>
      </c>
      <c r="I6" s="12">
        <v>1</v>
      </c>
      <c r="J6" s="12">
        <v>26</v>
      </c>
      <c r="L6" s="7"/>
      <c r="M6" s="7">
        <v>1</v>
      </c>
      <c r="N6" s="7">
        <v>1</v>
      </c>
      <c r="O6" s="7"/>
      <c r="P6" s="7"/>
      <c r="Q6" s="7"/>
      <c r="R6" s="7"/>
      <c r="S6" s="7"/>
      <c r="T6" s="1"/>
      <c r="U6" s="2">
        <v>1</v>
      </c>
      <c r="V6" s="2" t="s">
        <v>17</v>
      </c>
      <c r="W6" s="2" t="str">
        <f>ObtenerPrimera26(V6,$A$6:$J$31,$L$6:$S$31,U6)</f>
        <v>6-F</v>
      </c>
      <c r="X6" s="2" t="str">
        <f>ObtenerPrimeraDuplicado26(W6,$A$6:$J$31,$L$6:$S$10,U6)</f>
        <v>19-F</v>
      </c>
      <c r="Y6" s="2" t="str">
        <f>ObtenerPrimera26Inversa(V6,$A$6:$J$31,$L$6:$S$31,U6)</f>
        <v>21-F</v>
      </c>
      <c r="Z6" s="2" t="str">
        <f>ObtenerPrimeraDuplicado26Inversa(W6,$A$6:$J$31,$L$6:$S$10,U6)</f>
        <v>8-F</v>
      </c>
      <c r="AA6" s="2" t="str">
        <f>ObtenerSegundaDesdeOriginal26(W6,$A$6:$J$31,$L$6:$S$31,U6)</f>
        <v>5-E</v>
      </c>
      <c r="AB6" s="2" t="str">
        <f>ObtenerSegundaDesdeDuplicado26(X6,$A$6:$J$31,$L$6:$S$31,U6)</f>
        <v>5-E</v>
      </c>
    </row>
    <row r="7" spans="1:28" x14ac:dyDescent="0.25">
      <c r="A7" s="2" t="s">
        <v>18</v>
      </c>
      <c r="B7" s="3" t="s">
        <v>4</v>
      </c>
      <c r="C7" s="3" t="s">
        <v>13</v>
      </c>
      <c r="D7" s="4" t="s">
        <v>18</v>
      </c>
      <c r="E7" s="4" t="s">
        <v>26</v>
      </c>
      <c r="F7" s="5" t="s">
        <v>20</v>
      </c>
      <c r="G7" s="5" t="s">
        <v>24</v>
      </c>
      <c r="H7" s="2" t="s">
        <v>18</v>
      </c>
      <c r="I7" s="12">
        <v>2</v>
      </c>
      <c r="J7" s="12">
        <v>25</v>
      </c>
      <c r="L7" s="7"/>
      <c r="M7" s="7"/>
      <c r="N7" s="7"/>
      <c r="O7" s="7">
        <v>-3</v>
      </c>
      <c r="P7" s="7">
        <v>-3</v>
      </c>
      <c r="Q7" s="7"/>
      <c r="R7" s="7"/>
      <c r="S7" s="7"/>
      <c r="T7" s="1"/>
      <c r="U7" s="2">
        <v>2</v>
      </c>
      <c r="V7" s="2" t="s">
        <v>8</v>
      </c>
      <c r="W7" s="2" t="str">
        <f>ObtenerPrimera26(V7,$A$6:$J$31,$L$6:$S$31,U7)</f>
        <v>6-F</v>
      </c>
      <c r="X7" s="2" t="str">
        <f>ObtenerPrimeraDuplicado26(W7,$A$6:$J$31,$L$6:$S$10,U7)</f>
        <v>19-F</v>
      </c>
      <c r="Y7" s="2" t="str">
        <f>ObtenerPrimera26Inversa(V7,$A$6:$J$31,$L$6:$S$31,U7)</f>
        <v>21-F</v>
      </c>
      <c r="Z7" s="2" t="str">
        <f>ObtenerPrimeraDuplicado26Inversa(W7,$A$6:$J$31,$L$6:$S$10,U7)</f>
        <v>8-F</v>
      </c>
      <c r="AA7" s="2" t="str">
        <f>ObtenerSegundaDesdeOriginal26(W7,$A$6:$J$31,$L$6:$S$31,U7)</f>
        <v>1-A</v>
      </c>
      <c r="AB7" s="2" t="str">
        <f>ObtenerSegundaDesdeDuplicado26(X7,$A$6:$J$31,$L$6:$S$31,U7)</f>
        <v>1-A</v>
      </c>
    </row>
    <row r="8" spans="1:28" x14ac:dyDescent="0.25">
      <c r="A8" s="2" t="s">
        <v>19</v>
      </c>
      <c r="B8" s="3" t="s">
        <v>5</v>
      </c>
      <c r="C8" s="3" t="s">
        <v>15</v>
      </c>
      <c r="D8" s="4" t="s">
        <v>19</v>
      </c>
      <c r="E8" s="4" t="s">
        <v>20</v>
      </c>
      <c r="F8" s="5" t="s">
        <v>21</v>
      </c>
      <c r="G8" s="5" t="s">
        <v>26</v>
      </c>
      <c r="H8" s="2" t="s">
        <v>19</v>
      </c>
      <c r="I8" s="12">
        <v>3</v>
      </c>
      <c r="J8" s="12">
        <v>24</v>
      </c>
      <c r="L8" s="7"/>
      <c r="M8" s="7"/>
      <c r="N8" s="7"/>
      <c r="O8" s="7"/>
      <c r="P8" s="7"/>
      <c r="Q8" s="7">
        <v>5</v>
      </c>
      <c r="R8" s="7">
        <v>5</v>
      </c>
      <c r="S8" s="7"/>
      <c r="T8" s="1"/>
      <c r="U8" s="2">
        <v>3</v>
      </c>
      <c r="V8" s="2" t="s">
        <v>18</v>
      </c>
      <c r="W8" s="2" t="str">
        <f>ObtenerPrimera26(V8,$A$6:$J$31,$L$6:$S$31,U8)</f>
        <v>9-I</v>
      </c>
      <c r="X8" s="2" t="str">
        <f>ObtenerPrimeraDuplicado26(W8,$A$6:$J$31,$L$6:$S$10,U8)</f>
        <v>16-I</v>
      </c>
      <c r="Y8" s="2" t="str">
        <f>ObtenerPrimera26Inversa(V8,$A$6:$J$31,$L$6:$S$31,U8)</f>
        <v>18-I</v>
      </c>
      <c r="Z8" s="2" t="str">
        <f>ObtenerPrimeraDuplicado26Inversa(W8,$A$6:$J$31,$L$6:$S$10,U8)</f>
        <v>11-I</v>
      </c>
      <c r="AA8" s="2" t="str">
        <f>ObtenerSegundaDesdeOriginal26(W8,$A$6:$J$31,$L$6:$S$31,U8)</f>
        <v>10-J</v>
      </c>
      <c r="AB8" s="2" t="str">
        <f>ObtenerSegundaDesdeDuplicado26(X8,$A$6:$J$31,$L$6:$S$31,U8)</f>
        <v>10-J</v>
      </c>
    </row>
    <row r="9" spans="1:28" x14ac:dyDescent="0.25">
      <c r="A9" s="2" t="s">
        <v>20</v>
      </c>
      <c r="B9" s="3" t="s">
        <v>6</v>
      </c>
      <c r="C9" s="3" t="s">
        <v>24</v>
      </c>
      <c r="D9" s="4" t="s">
        <v>20</v>
      </c>
      <c r="E9" s="4" t="s">
        <v>27</v>
      </c>
      <c r="F9" s="5" t="s">
        <v>22</v>
      </c>
      <c r="G9" s="5" t="s">
        <v>28</v>
      </c>
      <c r="H9" s="2" t="s">
        <v>20</v>
      </c>
      <c r="I9" s="12">
        <v>4</v>
      </c>
      <c r="J9" s="12">
        <v>23</v>
      </c>
      <c r="L9" s="7"/>
      <c r="M9" s="7">
        <v>1</v>
      </c>
      <c r="N9" s="7">
        <v>1</v>
      </c>
      <c r="O9" s="7"/>
      <c r="P9" s="7"/>
      <c r="Q9" s="7"/>
      <c r="R9" s="7"/>
      <c r="S9" s="7"/>
      <c r="T9" s="1"/>
      <c r="U9" s="2">
        <v>4</v>
      </c>
      <c r="V9" s="2" t="s">
        <v>5</v>
      </c>
      <c r="W9" s="2" t="str">
        <f>ObtenerPrimera26(V9,$A$6:$J$31,$L$6:$S$31,U9)</f>
        <v>11-K</v>
      </c>
      <c r="X9" s="2" t="str">
        <f>ObtenerPrimeraDuplicado26(W9,$A$6:$J$31,$L$6:$S$10,U9)</f>
        <v>14-K</v>
      </c>
      <c r="Y9" s="2" t="str">
        <f>ObtenerPrimera26Inversa(V9,$A$6:$J$31,$L$6:$S$31,U9)</f>
        <v>16-K</v>
      </c>
      <c r="Z9" s="2" t="str">
        <f>ObtenerPrimeraDuplicado26Inversa(W9,$A$6:$J$31,$L$6:$S$10,U9)</f>
        <v>13-K</v>
      </c>
      <c r="AA9" s="2" t="str">
        <f>ObtenerSegundaDesdeOriginal26(W9,$A$6:$J$31,$L$6:$S$31,U9)</f>
        <v>16-P</v>
      </c>
      <c r="AB9" s="2" t="str">
        <f>ObtenerSegundaDesdeDuplicado26(X9,$A$6:$J$31,$L$6:$S$31,U9)</f>
        <v>16-P</v>
      </c>
    </row>
    <row r="10" spans="1:28" x14ac:dyDescent="0.25">
      <c r="A10" s="2" t="s">
        <v>21</v>
      </c>
      <c r="B10" s="3" t="s">
        <v>7</v>
      </c>
      <c r="C10" s="3" t="s">
        <v>14</v>
      </c>
      <c r="D10" s="4" t="s">
        <v>21</v>
      </c>
      <c r="E10" s="4" t="s">
        <v>9</v>
      </c>
      <c r="F10" s="5" t="s">
        <v>23</v>
      </c>
      <c r="G10" s="5" t="s">
        <v>19</v>
      </c>
      <c r="H10" s="2" t="s">
        <v>21</v>
      </c>
      <c r="I10" s="12">
        <v>5</v>
      </c>
      <c r="J10" s="12">
        <v>22</v>
      </c>
      <c r="L10" s="7"/>
      <c r="M10" s="7"/>
      <c r="N10" s="7"/>
      <c r="O10" s="7">
        <v>-3</v>
      </c>
      <c r="P10" s="7">
        <v>-3</v>
      </c>
      <c r="Q10" s="7"/>
      <c r="R10" s="7"/>
      <c r="S10" s="7"/>
      <c r="T10" s="1"/>
      <c r="U10" s="2">
        <v>5</v>
      </c>
      <c r="V10" s="2" t="s">
        <v>28</v>
      </c>
      <c r="W10" s="2" t="str">
        <f>ObtenerPrimera26(V10,$A$6:$J$31,$L$6:$S$31,U10)</f>
        <v>24-J</v>
      </c>
      <c r="X10" s="2" t="str">
        <f>ObtenerPrimeraDuplicado26(W10,$A$6:$J$31,$L$6:$S$10,U10)</f>
        <v>10-J</v>
      </c>
      <c r="Y10" s="2" t="str">
        <f>ObtenerPrimera26Inversa(V10,$A$6:$J$31,$L$6:$S$31,U10)</f>
        <v>3-J</v>
      </c>
      <c r="Z10" s="2" t="str">
        <f>ObtenerPrimeraDuplicado26Inversa(W10,$A$6:$J$31,$L$6:$S$10,U10)</f>
        <v>17-J</v>
      </c>
      <c r="AA10" s="2" t="str">
        <f>ObtenerSegundaDesdeOriginal26(W10,$A$6:$J$31,$L$6:$S$31,U10)</f>
        <v>13-M</v>
      </c>
      <c r="AB10" s="2" t="str">
        <f>ObtenerSegundaDesdeDuplicado26(X10,$A$6:$J$31,$L$6:$S$31,U10)</f>
        <v>13-M</v>
      </c>
    </row>
    <row r="11" spans="1:28" x14ac:dyDescent="0.25">
      <c r="A11" s="2" t="s">
        <v>22</v>
      </c>
      <c r="B11" s="3" t="s">
        <v>8</v>
      </c>
      <c r="C11" s="3" t="s">
        <v>11</v>
      </c>
      <c r="D11" s="4" t="s">
        <v>22</v>
      </c>
      <c r="E11" s="4" t="s">
        <v>25</v>
      </c>
      <c r="F11" s="5" t="s">
        <v>24</v>
      </c>
      <c r="G11" s="5" t="s">
        <v>6</v>
      </c>
      <c r="H11" s="2" t="s">
        <v>22</v>
      </c>
      <c r="I11" s="12">
        <v>6</v>
      </c>
      <c r="J11" s="12">
        <v>21</v>
      </c>
      <c r="L11" s="7"/>
      <c r="M11" s="7"/>
      <c r="N11" s="7"/>
      <c r="O11" s="7"/>
      <c r="P11" s="7"/>
      <c r="Q11" s="7">
        <v>5</v>
      </c>
      <c r="R11" s="7">
        <v>5</v>
      </c>
      <c r="S11" s="7"/>
      <c r="T11" s="1"/>
      <c r="U11" s="2">
        <v>6</v>
      </c>
      <c r="V11" s="2"/>
      <c r="W11" s="2"/>
      <c r="X11" s="2"/>
      <c r="Y11" s="2"/>
      <c r="Z11" s="2"/>
      <c r="AA11" s="2"/>
      <c r="AB11" s="2"/>
    </row>
    <row r="12" spans="1:28" x14ac:dyDescent="0.25">
      <c r="A12" s="2" t="s">
        <v>23</v>
      </c>
      <c r="B12" s="3" t="s">
        <v>9</v>
      </c>
      <c r="C12" s="3" t="s">
        <v>9</v>
      </c>
      <c r="D12" s="4" t="s">
        <v>23</v>
      </c>
      <c r="E12" s="4" t="s">
        <v>8</v>
      </c>
      <c r="F12" s="5" t="s">
        <v>25</v>
      </c>
      <c r="G12" s="5" t="s">
        <v>8</v>
      </c>
      <c r="H12" s="2" t="s">
        <v>23</v>
      </c>
      <c r="I12" s="12">
        <v>7</v>
      </c>
      <c r="J12" s="12">
        <v>20</v>
      </c>
      <c r="L12" s="7"/>
      <c r="M12" s="7"/>
      <c r="N12" s="7"/>
      <c r="O12" s="7"/>
      <c r="P12" s="7"/>
      <c r="Q12" s="7"/>
      <c r="R12" s="7"/>
      <c r="S12" s="7"/>
      <c r="T12" s="1"/>
      <c r="U12" s="2">
        <v>7</v>
      </c>
      <c r="V12" s="2"/>
      <c r="W12" s="2"/>
      <c r="X12" s="2"/>
      <c r="Y12" s="2"/>
      <c r="Z12" s="2"/>
      <c r="AA12" s="2"/>
      <c r="AB12" s="2"/>
    </row>
    <row r="13" spans="1:28" x14ac:dyDescent="0.25">
      <c r="A13" s="2" t="s">
        <v>24</v>
      </c>
      <c r="B13" s="3" t="s">
        <v>10</v>
      </c>
      <c r="C13" s="3" t="s">
        <v>6</v>
      </c>
      <c r="D13" s="4" t="s">
        <v>24</v>
      </c>
      <c r="E13" s="4" t="s">
        <v>11</v>
      </c>
      <c r="F13" s="5" t="s">
        <v>26</v>
      </c>
      <c r="G13" s="5" t="s">
        <v>10</v>
      </c>
      <c r="H13" s="2" t="s">
        <v>20</v>
      </c>
      <c r="I13" s="12">
        <v>8</v>
      </c>
      <c r="J13" s="12">
        <v>19</v>
      </c>
      <c r="L13" s="7"/>
      <c r="M13" s="7"/>
      <c r="N13" s="7"/>
      <c r="O13" s="7"/>
      <c r="P13" s="7"/>
      <c r="Q13" s="7"/>
      <c r="R13" s="7"/>
      <c r="S13" s="7"/>
      <c r="T13" s="1"/>
      <c r="U13" s="2">
        <v>8</v>
      </c>
      <c r="V13" s="2"/>
      <c r="W13" s="2"/>
      <c r="X13" s="2"/>
      <c r="Y13" s="2"/>
      <c r="Z13" s="2"/>
      <c r="AA13" s="2"/>
      <c r="AB13" s="2"/>
    </row>
    <row r="14" spans="1:28" x14ac:dyDescent="0.25">
      <c r="A14" s="2" t="s">
        <v>25</v>
      </c>
      <c r="B14" s="3" t="s">
        <v>11</v>
      </c>
      <c r="C14" s="3" t="s">
        <v>17</v>
      </c>
      <c r="D14" s="4" t="s">
        <v>25</v>
      </c>
      <c r="E14" s="4" t="s">
        <v>14</v>
      </c>
      <c r="F14" s="5" t="s">
        <v>27</v>
      </c>
      <c r="G14" s="5" t="s">
        <v>14</v>
      </c>
      <c r="H14" s="2" t="s">
        <v>25</v>
      </c>
      <c r="I14" s="12">
        <v>9</v>
      </c>
      <c r="J14" s="12">
        <v>18</v>
      </c>
      <c r="L14" s="7"/>
      <c r="M14" s="7"/>
      <c r="N14" s="7"/>
      <c r="O14" s="7"/>
      <c r="P14" s="7"/>
      <c r="Q14" s="7"/>
      <c r="R14" s="7"/>
      <c r="S14" s="7"/>
      <c r="T14" s="1"/>
      <c r="U14" s="2">
        <v>9</v>
      </c>
      <c r="V14" s="2"/>
      <c r="W14" s="2"/>
      <c r="X14" s="2"/>
      <c r="Y14" s="2"/>
      <c r="Z14" s="2"/>
      <c r="AA14" s="2"/>
      <c r="AB14" s="2"/>
    </row>
    <row r="15" spans="1:28" x14ac:dyDescent="0.25">
      <c r="A15" s="2" t="s">
        <v>26</v>
      </c>
      <c r="B15" s="3" t="s">
        <v>12</v>
      </c>
      <c r="C15" s="3" t="s">
        <v>25</v>
      </c>
      <c r="D15" s="4" t="s">
        <v>26</v>
      </c>
      <c r="E15" s="4" t="s">
        <v>18</v>
      </c>
      <c r="F15" s="5" t="s">
        <v>28</v>
      </c>
      <c r="G15" s="5" t="s">
        <v>12</v>
      </c>
      <c r="H15" s="2" t="s">
        <v>26</v>
      </c>
      <c r="I15" s="12">
        <v>10</v>
      </c>
      <c r="J15" s="12">
        <v>17</v>
      </c>
      <c r="L15" s="2"/>
      <c r="M15" s="2"/>
      <c r="N15" s="2"/>
      <c r="O15" s="2"/>
      <c r="P15" s="2"/>
      <c r="Q15" s="2"/>
      <c r="R15" s="2"/>
      <c r="S15" s="2"/>
      <c r="T15" s="1"/>
      <c r="U15" s="2">
        <v>10</v>
      </c>
      <c r="V15" s="2"/>
      <c r="W15" s="2"/>
      <c r="X15" s="2"/>
      <c r="Y15" s="2"/>
      <c r="Z15" s="2"/>
      <c r="AA15" s="2"/>
      <c r="AB15" s="2"/>
    </row>
    <row r="16" spans="1:28" x14ac:dyDescent="0.25">
      <c r="A16" s="2" t="s">
        <v>27</v>
      </c>
      <c r="B16" s="3" t="s">
        <v>13</v>
      </c>
      <c r="C16" s="3" t="s">
        <v>18</v>
      </c>
      <c r="D16" s="4" t="s">
        <v>27</v>
      </c>
      <c r="E16" s="4" t="s">
        <v>28</v>
      </c>
      <c r="F16" s="5" t="s">
        <v>29</v>
      </c>
      <c r="G16" s="5" t="s">
        <v>16</v>
      </c>
      <c r="H16" s="2" t="s">
        <v>27</v>
      </c>
      <c r="I16" s="12">
        <v>11</v>
      </c>
      <c r="J16" s="12">
        <v>16</v>
      </c>
      <c r="L16" s="2"/>
      <c r="M16" s="2"/>
      <c r="N16" s="2"/>
      <c r="O16" s="2"/>
      <c r="P16" s="2"/>
      <c r="Q16" s="2"/>
      <c r="R16" s="2"/>
      <c r="S16" s="2"/>
      <c r="T16" s="1"/>
      <c r="U16" s="2">
        <v>11</v>
      </c>
      <c r="V16" s="2"/>
      <c r="W16" s="2"/>
      <c r="X16" s="2"/>
      <c r="Y16" s="2"/>
      <c r="Z16" s="2"/>
      <c r="AA16" s="2"/>
      <c r="AB16" s="2"/>
    </row>
    <row r="17" spans="1:28" x14ac:dyDescent="0.25">
      <c r="A17" s="2" t="s">
        <v>28</v>
      </c>
      <c r="B17" s="3" t="s">
        <v>14</v>
      </c>
      <c r="C17" s="3" t="s">
        <v>8</v>
      </c>
      <c r="D17" s="4" t="s">
        <v>28</v>
      </c>
      <c r="E17" s="4" t="s">
        <v>24</v>
      </c>
      <c r="F17" s="5" t="s">
        <v>4</v>
      </c>
      <c r="G17" s="5" t="s">
        <v>4</v>
      </c>
      <c r="H17" s="2" t="s">
        <v>23</v>
      </c>
      <c r="I17" s="12">
        <v>12</v>
      </c>
      <c r="J17" s="12">
        <v>15</v>
      </c>
      <c r="L17" s="2"/>
      <c r="M17" s="2"/>
      <c r="N17" s="2"/>
      <c r="O17" s="2"/>
      <c r="P17" s="2"/>
      <c r="Q17" s="2"/>
      <c r="R17" s="2"/>
      <c r="S17" s="2"/>
      <c r="T17" s="1"/>
      <c r="U17" s="2">
        <v>12</v>
      </c>
      <c r="V17" s="2"/>
      <c r="W17" s="2"/>
      <c r="X17" s="2"/>
      <c r="Y17" s="2"/>
      <c r="Z17" s="2"/>
      <c r="AA17" s="2"/>
      <c r="AB17" s="2"/>
    </row>
    <row r="18" spans="1:28" x14ac:dyDescent="0.25">
      <c r="A18" s="2" t="s">
        <v>29</v>
      </c>
      <c r="B18" s="3" t="s">
        <v>15</v>
      </c>
      <c r="C18" s="3" t="s">
        <v>19</v>
      </c>
      <c r="D18" s="4" t="s">
        <v>29</v>
      </c>
      <c r="E18" s="4" t="s">
        <v>13</v>
      </c>
      <c r="F18" s="5" t="s">
        <v>5</v>
      </c>
      <c r="G18" s="5" t="s">
        <v>15</v>
      </c>
      <c r="H18" s="2" t="s">
        <v>29</v>
      </c>
      <c r="I18" s="12">
        <v>13</v>
      </c>
      <c r="J18" s="12">
        <v>14</v>
      </c>
      <c r="L18" s="2"/>
      <c r="M18" s="2"/>
      <c r="N18" s="2"/>
      <c r="O18" s="2"/>
      <c r="P18" s="2"/>
      <c r="Q18" s="2"/>
      <c r="R18" s="2"/>
      <c r="S18" s="2"/>
      <c r="T18" s="1"/>
      <c r="U18" s="2">
        <v>13</v>
      </c>
      <c r="V18" s="2"/>
      <c r="W18" s="2"/>
      <c r="X18" s="2"/>
      <c r="Y18" s="2"/>
      <c r="Z18" s="2"/>
      <c r="AA18" s="2"/>
      <c r="AB18" s="2"/>
    </row>
    <row r="19" spans="1:28" x14ac:dyDescent="0.25">
      <c r="A19" s="2" t="s">
        <v>4</v>
      </c>
      <c r="B19" s="3" t="s">
        <v>16</v>
      </c>
      <c r="C19" s="3" t="s">
        <v>26</v>
      </c>
      <c r="D19" s="4" t="s">
        <v>4</v>
      </c>
      <c r="E19" s="4" t="s">
        <v>10</v>
      </c>
      <c r="F19" s="5" t="s">
        <v>6</v>
      </c>
      <c r="G19" s="5" t="s">
        <v>21</v>
      </c>
      <c r="H19" s="2" t="s">
        <v>27</v>
      </c>
      <c r="I19" s="12">
        <v>14</v>
      </c>
      <c r="J19" s="12">
        <v>13</v>
      </c>
      <c r="L19" s="2"/>
      <c r="M19" s="2"/>
      <c r="N19" s="2"/>
      <c r="O19" s="2"/>
      <c r="P19" s="2"/>
      <c r="Q19" s="2"/>
      <c r="R19" s="2"/>
      <c r="S19" s="2"/>
      <c r="T19" s="1"/>
      <c r="U19" s="2">
        <v>14</v>
      </c>
      <c r="V19" s="2"/>
      <c r="W19" s="2"/>
      <c r="X19" s="2"/>
      <c r="Y19" s="2"/>
      <c r="Z19" s="2"/>
      <c r="AA19" s="2"/>
      <c r="AB19" s="2"/>
    </row>
    <row r="20" spans="1:28" x14ac:dyDescent="0.25">
      <c r="A20" s="2" t="s">
        <v>5</v>
      </c>
      <c r="B20" s="3" t="s">
        <v>17</v>
      </c>
      <c r="C20" s="3" t="s">
        <v>21</v>
      </c>
      <c r="D20" s="4" t="s">
        <v>5</v>
      </c>
      <c r="E20" s="4" t="s">
        <v>29</v>
      </c>
      <c r="F20" s="5" t="s">
        <v>7</v>
      </c>
      <c r="G20" s="5" t="s">
        <v>25</v>
      </c>
      <c r="H20" s="2" t="s">
        <v>29</v>
      </c>
      <c r="I20" s="12">
        <v>15</v>
      </c>
      <c r="J20" s="12">
        <v>12</v>
      </c>
      <c r="L20" s="2"/>
      <c r="M20" s="2"/>
      <c r="N20" s="2"/>
      <c r="O20" s="2"/>
      <c r="P20" s="2"/>
      <c r="Q20" s="2"/>
      <c r="R20" s="2"/>
      <c r="S20" s="2"/>
      <c r="T20" s="1"/>
      <c r="U20" s="2">
        <v>15</v>
      </c>
      <c r="V20" s="2"/>
      <c r="W20" s="2"/>
      <c r="X20" s="2"/>
      <c r="Y20" s="2"/>
      <c r="Z20" s="2"/>
      <c r="AA20" s="2"/>
      <c r="AB20" s="2"/>
    </row>
    <row r="21" spans="1:28" x14ac:dyDescent="0.25">
      <c r="A21" s="2" t="s">
        <v>6</v>
      </c>
      <c r="B21" s="3" t="s">
        <v>18</v>
      </c>
      <c r="C21" s="3" t="s">
        <v>27</v>
      </c>
      <c r="D21" s="4" t="s">
        <v>6</v>
      </c>
      <c r="E21" s="4" t="s">
        <v>19</v>
      </c>
      <c r="F21" s="5" t="s">
        <v>8</v>
      </c>
      <c r="G21" s="5" t="s">
        <v>13</v>
      </c>
      <c r="H21" s="2" t="s">
        <v>25</v>
      </c>
      <c r="I21" s="12">
        <v>16</v>
      </c>
      <c r="J21" s="12">
        <v>11</v>
      </c>
      <c r="L21" s="2"/>
      <c r="M21" s="2"/>
      <c r="N21" s="2"/>
      <c r="O21" s="2"/>
      <c r="P21" s="2"/>
      <c r="Q21" s="2"/>
      <c r="R21" s="2"/>
      <c r="S21" s="2"/>
      <c r="T21" s="1"/>
      <c r="U21" s="2">
        <v>16</v>
      </c>
      <c r="V21" s="2"/>
      <c r="W21" s="2"/>
      <c r="X21" s="2"/>
      <c r="Y21" s="2"/>
      <c r="Z21" s="2"/>
      <c r="AA21" s="2"/>
      <c r="AB21" s="2"/>
    </row>
    <row r="22" spans="1:28" x14ac:dyDescent="0.25">
      <c r="A22" s="2" t="s">
        <v>7</v>
      </c>
      <c r="B22" s="3" t="s">
        <v>19</v>
      </c>
      <c r="C22" s="3" t="s">
        <v>29</v>
      </c>
      <c r="D22" s="4" t="s">
        <v>7</v>
      </c>
      <c r="E22" s="4" t="s">
        <v>7</v>
      </c>
      <c r="F22" s="5" t="s">
        <v>9</v>
      </c>
      <c r="G22" s="5" t="s">
        <v>23</v>
      </c>
      <c r="H22" s="2" t="s">
        <v>21</v>
      </c>
      <c r="I22" s="12">
        <v>17</v>
      </c>
      <c r="J22" s="12">
        <v>10</v>
      </c>
      <c r="L22" s="2"/>
      <c r="M22" s="2"/>
      <c r="N22" s="2"/>
      <c r="O22" s="2"/>
      <c r="P22" s="2"/>
      <c r="Q22" s="2"/>
      <c r="R22" s="2"/>
      <c r="S22" s="2"/>
      <c r="T22" s="1"/>
      <c r="U22" s="2">
        <v>17</v>
      </c>
      <c r="V22" s="2"/>
      <c r="W22" s="2"/>
      <c r="X22" s="2"/>
      <c r="Y22" s="2"/>
      <c r="Z22" s="2"/>
      <c r="AA22" s="2"/>
      <c r="AB22" s="2"/>
    </row>
    <row r="23" spans="1:28" x14ac:dyDescent="0.25">
      <c r="A23" s="2" t="s">
        <v>8</v>
      </c>
      <c r="B23" s="3" t="s">
        <v>20</v>
      </c>
      <c r="C23" s="3" t="s">
        <v>22</v>
      </c>
      <c r="D23" s="4" t="s">
        <v>8</v>
      </c>
      <c r="E23" s="4" t="s">
        <v>23</v>
      </c>
      <c r="F23" s="5" t="s">
        <v>10</v>
      </c>
      <c r="G23" s="5" t="s">
        <v>17</v>
      </c>
      <c r="H23" s="2" t="s">
        <v>18</v>
      </c>
      <c r="I23" s="12">
        <v>18</v>
      </c>
      <c r="J23" s="12">
        <v>9</v>
      </c>
      <c r="L23" s="2"/>
      <c r="M23" s="2"/>
      <c r="N23" s="2"/>
      <c r="O23" s="2"/>
      <c r="P23" s="2"/>
      <c r="Q23" s="2"/>
      <c r="R23" s="2"/>
      <c r="S23" s="2"/>
      <c r="T23" s="1"/>
      <c r="U23" s="2">
        <v>18</v>
      </c>
      <c r="V23" s="2"/>
      <c r="W23" s="2"/>
      <c r="X23" s="2"/>
      <c r="Y23" s="2"/>
      <c r="Z23" s="2"/>
      <c r="AA23" s="2"/>
      <c r="AB23" s="2"/>
    </row>
    <row r="24" spans="1:28" x14ac:dyDescent="0.25">
      <c r="A24" s="2" t="s">
        <v>9</v>
      </c>
      <c r="B24" s="3" t="s">
        <v>21</v>
      </c>
      <c r="C24" s="3" t="s">
        <v>28</v>
      </c>
      <c r="D24" s="4" t="s">
        <v>9</v>
      </c>
      <c r="E24" s="4" t="s">
        <v>16</v>
      </c>
      <c r="F24" s="5" t="s">
        <v>11</v>
      </c>
      <c r="G24" s="5" t="s">
        <v>27</v>
      </c>
      <c r="H24" s="2" t="s">
        <v>22</v>
      </c>
      <c r="I24" s="12">
        <v>19</v>
      </c>
      <c r="J24" s="12">
        <v>8</v>
      </c>
      <c r="L24" s="2"/>
      <c r="M24" s="2"/>
      <c r="N24" s="2"/>
      <c r="O24" s="2"/>
      <c r="P24" s="2"/>
      <c r="Q24" s="2"/>
      <c r="R24" s="2"/>
      <c r="S24" s="2"/>
      <c r="T24" s="1"/>
      <c r="U24" s="2">
        <v>19</v>
      </c>
      <c r="V24" s="2"/>
      <c r="W24" s="2"/>
      <c r="X24" s="2"/>
      <c r="Y24" s="2"/>
      <c r="Z24" s="2"/>
      <c r="AA24" s="2"/>
      <c r="AB24" s="2"/>
    </row>
    <row r="25" spans="1:28" x14ac:dyDescent="0.25">
      <c r="A25" s="2" t="s">
        <v>10</v>
      </c>
      <c r="B25" s="3" t="s">
        <v>22</v>
      </c>
      <c r="C25" s="3" t="s">
        <v>23</v>
      </c>
      <c r="D25" s="4" t="s">
        <v>10</v>
      </c>
      <c r="E25" s="4" t="s">
        <v>4</v>
      </c>
      <c r="F25" s="5" t="s">
        <v>12</v>
      </c>
      <c r="G25" s="5" t="s">
        <v>29</v>
      </c>
      <c r="H25" s="2" t="s">
        <v>10</v>
      </c>
      <c r="I25" s="12">
        <v>20</v>
      </c>
      <c r="J25" s="12">
        <v>7</v>
      </c>
      <c r="L25" s="2"/>
      <c r="M25" s="2"/>
      <c r="N25" s="2"/>
      <c r="O25" s="2"/>
      <c r="P25" s="2"/>
      <c r="Q25" s="2"/>
      <c r="R25" s="2"/>
      <c r="S25" s="2"/>
      <c r="T25" s="1"/>
      <c r="U25" s="2">
        <v>20</v>
      </c>
      <c r="V25" s="2"/>
      <c r="W25" s="2"/>
      <c r="X25" s="2"/>
      <c r="Y25" s="2"/>
      <c r="Z25" s="2"/>
      <c r="AA25" s="2"/>
      <c r="AB25" s="2"/>
    </row>
    <row r="26" spans="1:28" x14ac:dyDescent="0.25">
      <c r="A26" s="2" t="s">
        <v>11</v>
      </c>
      <c r="B26" s="3" t="s">
        <v>23</v>
      </c>
      <c r="C26" s="3" t="s">
        <v>20</v>
      </c>
      <c r="D26" s="4" t="s">
        <v>11</v>
      </c>
      <c r="E26" s="4" t="s">
        <v>6</v>
      </c>
      <c r="F26" s="5" t="s">
        <v>13</v>
      </c>
      <c r="G26" s="5" t="s">
        <v>11</v>
      </c>
      <c r="H26" s="2" t="s">
        <v>19</v>
      </c>
      <c r="I26" s="12">
        <v>21</v>
      </c>
      <c r="J26" s="12">
        <v>6</v>
      </c>
      <c r="L26" s="2"/>
      <c r="M26" s="2"/>
      <c r="N26" s="2"/>
      <c r="O26" s="2"/>
      <c r="P26" s="2"/>
      <c r="Q26" s="2"/>
      <c r="R26" s="2"/>
      <c r="S26" s="2"/>
      <c r="T26" s="1"/>
      <c r="U26" s="2">
        <v>21</v>
      </c>
      <c r="V26" s="2"/>
      <c r="W26" s="2"/>
      <c r="X26" s="2"/>
      <c r="Y26" s="2"/>
      <c r="Z26" s="2"/>
      <c r="AA26" s="2"/>
      <c r="AB26" s="2"/>
    </row>
    <row r="27" spans="1:28" x14ac:dyDescent="0.25">
      <c r="A27" s="2" t="s">
        <v>12</v>
      </c>
      <c r="B27" s="3" t="s">
        <v>24</v>
      </c>
      <c r="C27" s="3" t="s">
        <v>7</v>
      </c>
      <c r="D27" s="4" t="s">
        <v>12</v>
      </c>
      <c r="E27" s="4" t="s">
        <v>15</v>
      </c>
      <c r="F27" s="5" t="s">
        <v>14</v>
      </c>
      <c r="G27" s="5" t="s">
        <v>9</v>
      </c>
      <c r="H27" s="2" t="s">
        <v>12</v>
      </c>
      <c r="I27" s="12">
        <v>22</v>
      </c>
      <c r="J27" s="12">
        <v>5</v>
      </c>
      <c r="L27" s="2"/>
      <c r="M27" s="2"/>
      <c r="N27" s="2"/>
      <c r="O27" s="2"/>
      <c r="P27" s="2"/>
      <c r="Q27" s="2"/>
      <c r="R27" s="2"/>
      <c r="S27" s="2"/>
      <c r="T27" s="1"/>
      <c r="U27" s="2">
        <v>22</v>
      </c>
      <c r="V27" s="2"/>
      <c r="W27" s="2"/>
      <c r="X27" s="2"/>
      <c r="Y27" s="2"/>
      <c r="Z27" s="2"/>
      <c r="AA27" s="2"/>
      <c r="AB27" s="2"/>
    </row>
    <row r="28" spans="1:28" x14ac:dyDescent="0.25">
      <c r="A28" s="2" t="s">
        <v>13</v>
      </c>
      <c r="B28" s="3" t="s">
        <v>25</v>
      </c>
      <c r="C28" s="3" t="s">
        <v>12</v>
      </c>
      <c r="D28" s="4" t="s">
        <v>13</v>
      </c>
      <c r="E28" s="4" t="s">
        <v>22</v>
      </c>
      <c r="F28" s="5" t="s">
        <v>15</v>
      </c>
      <c r="G28" s="5" t="s">
        <v>7</v>
      </c>
      <c r="H28" s="2" t="s">
        <v>12</v>
      </c>
      <c r="I28" s="12">
        <v>23</v>
      </c>
      <c r="J28" s="12">
        <v>4</v>
      </c>
      <c r="L28" s="2"/>
      <c r="M28" s="2"/>
      <c r="N28" s="2"/>
      <c r="O28" s="2"/>
      <c r="P28" s="2"/>
      <c r="Q28" s="2"/>
      <c r="R28" s="2"/>
      <c r="S28" s="2"/>
      <c r="T28" s="1"/>
      <c r="U28" s="2">
        <v>23</v>
      </c>
      <c r="V28" s="2"/>
      <c r="W28" s="2"/>
      <c r="X28" s="2"/>
      <c r="Y28" s="2"/>
      <c r="Z28" s="2"/>
      <c r="AA28" s="2"/>
      <c r="AB28" s="2"/>
    </row>
    <row r="29" spans="1:28" x14ac:dyDescent="0.25">
      <c r="A29" s="2" t="s">
        <v>14</v>
      </c>
      <c r="B29" s="3" t="s">
        <v>26</v>
      </c>
      <c r="C29" s="3" t="s">
        <v>16</v>
      </c>
      <c r="D29" s="4" t="s">
        <v>14</v>
      </c>
      <c r="E29" s="4" t="s">
        <v>12</v>
      </c>
      <c r="F29" s="5" t="s">
        <v>16</v>
      </c>
      <c r="G29" s="5" t="s">
        <v>5</v>
      </c>
      <c r="H29" s="2" t="s">
        <v>26</v>
      </c>
      <c r="I29" s="12">
        <v>24</v>
      </c>
      <c r="J29" s="12">
        <v>3</v>
      </c>
      <c r="L29" s="2"/>
      <c r="M29" s="2"/>
      <c r="N29" s="2"/>
      <c r="O29" s="2"/>
      <c r="P29" s="2"/>
      <c r="Q29" s="2"/>
      <c r="R29" s="2"/>
      <c r="S29" s="2"/>
      <c r="T29" s="1"/>
      <c r="U29" s="2">
        <v>24</v>
      </c>
      <c r="V29" s="2"/>
      <c r="W29" s="2"/>
      <c r="X29" s="2"/>
      <c r="Y29" s="2"/>
      <c r="Z29" s="2"/>
      <c r="AA29" s="2"/>
      <c r="AB29" s="2"/>
    </row>
    <row r="30" spans="1:28" x14ac:dyDescent="0.25">
      <c r="A30" s="2" t="s">
        <v>15</v>
      </c>
      <c r="B30" s="3" t="s">
        <v>27</v>
      </c>
      <c r="C30" s="3" t="s">
        <v>4</v>
      </c>
      <c r="D30" s="4" t="s">
        <v>15</v>
      </c>
      <c r="E30" s="4" t="s">
        <v>5</v>
      </c>
      <c r="F30" s="5" t="s">
        <v>17</v>
      </c>
      <c r="G30" s="5" t="s">
        <v>18</v>
      </c>
      <c r="H30" s="2" t="s">
        <v>17</v>
      </c>
      <c r="I30" s="12">
        <v>25</v>
      </c>
      <c r="J30" s="12">
        <v>2</v>
      </c>
      <c r="L30" s="2"/>
      <c r="M30" s="2"/>
      <c r="N30" s="2"/>
      <c r="O30" s="2"/>
      <c r="P30" s="2"/>
      <c r="Q30" s="2"/>
      <c r="R30" s="2"/>
      <c r="S30" s="2"/>
      <c r="T30" s="1"/>
      <c r="U30" s="2">
        <v>25</v>
      </c>
      <c r="V30" s="2"/>
      <c r="W30" s="2"/>
      <c r="X30" s="2"/>
      <c r="Y30" s="2"/>
      <c r="Z30" s="2"/>
      <c r="AA30" s="2"/>
      <c r="AB30" s="2"/>
    </row>
    <row r="31" spans="1:28" x14ac:dyDescent="0.25">
      <c r="A31" s="2" t="s">
        <v>16</v>
      </c>
      <c r="B31" s="3" t="s">
        <v>28</v>
      </c>
      <c r="C31" s="3" t="s">
        <v>10</v>
      </c>
      <c r="D31" s="4" t="s">
        <v>16</v>
      </c>
      <c r="E31" s="4" t="s">
        <v>21</v>
      </c>
      <c r="F31" s="5" t="s">
        <v>18</v>
      </c>
      <c r="G31" s="5" t="s">
        <v>20</v>
      </c>
      <c r="H31" s="2" t="s">
        <v>10</v>
      </c>
      <c r="I31" s="12">
        <v>26</v>
      </c>
      <c r="J31" s="12">
        <v>1</v>
      </c>
      <c r="L31" s="2"/>
      <c r="M31" s="2"/>
      <c r="N31" s="2"/>
      <c r="O31" s="2"/>
      <c r="P31" s="2"/>
      <c r="Q31" s="2"/>
      <c r="R31" s="2"/>
      <c r="S31" s="2"/>
      <c r="T31" s="1"/>
      <c r="U31" s="2">
        <v>26</v>
      </c>
      <c r="V31" s="2"/>
      <c r="W31" s="2"/>
      <c r="X31" s="2"/>
      <c r="Y31" s="2"/>
      <c r="Z31" s="2"/>
      <c r="AA31" s="2"/>
      <c r="AB31" s="2"/>
    </row>
    <row r="32" spans="1:28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cmdDespejar">
          <controlPr defaultSize="0" autoLine="0" r:id="rId4">
            <anchor moveWithCells="1">
              <from>
                <xdr:col>8</xdr:col>
                <xdr:colOff>19050</xdr:colOff>
                <xdr:row>0</xdr:row>
                <xdr:rowOff>66675</xdr:rowOff>
              </from>
              <to>
                <xdr:col>10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3077" r:id="rId3" name="cmdDespejar"/>
      </mc:Fallback>
    </mc:AlternateContent>
    <mc:AlternateContent xmlns:mc="http://schemas.openxmlformats.org/markup-compatibility/2006">
      <mc:Choice Requires="x14">
        <control shapeId="3073" r:id="rId5" name="cmdRellenarAscendentemente">
          <controlPr defaultSize="0" autoLine="0" r:id="rId6">
            <anchor moveWithCells="1">
              <from>
                <xdr:col>10</xdr:col>
                <xdr:colOff>190500</xdr:colOff>
                <xdr:row>0</xdr:row>
                <xdr:rowOff>66675</xdr:rowOff>
              </from>
              <to>
                <xdr:col>13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3073" r:id="rId5" name="cmdRellenarAscendentemente"/>
      </mc:Fallback>
    </mc:AlternateContent>
    <mc:AlternateContent xmlns:mc="http://schemas.openxmlformats.org/markup-compatibility/2006">
      <mc:Choice Requires="x14">
        <control shapeId="3074" r:id="rId7" name="cmdRellenarDescendentemente">
          <controlPr defaultSize="0" autoLine="0" r:id="rId8">
            <anchor moveWithCells="1">
              <from>
                <xdr:col>13</xdr:col>
                <xdr:colOff>0</xdr:colOff>
                <xdr:row>0</xdr:row>
                <xdr:rowOff>66675</xdr:rowOff>
              </from>
              <to>
                <xdr:col>16</xdr:col>
                <xdr:colOff>304800</xdr:colOff>
                <xdr:row>2</xdr:row>
                <xdr:rowOff>9525</xdr:rowOff>
              </to>
            </anchor>
          </controlPr>
        </control>
      </mc:Choice>
      <mc:Fallback>
        <control shapeId="3074" r:id="rId7" name="cmdRellenarDescendentemen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N62"/>
  <sheetViews>
    <sheetView showGridLines="0" zoomScale="115" zoomScaleNormal="115" workbookViewId="0">
      <selection activeCell="T12" sqref="T12"/>
    </sheetView>
  </sheetViews>
  <sheetFormatPr baseColWidth="10" defaultRowHeight="15" x14ac:dyDescent="0.25"/>
  <cols>
    <col min="1" max="1" width="7.5703125" customWidth="1"/>
    <col min="2" max="8" width="4.7109375" customWidth="1"/>
    <col min="9" max="10" width="7.5703125" customWidth="1"/>
    <col min="12" max="19" width="4.7109375" customWidth="1"/>
    <col min="21" max="24" width="8" customWidth="1"/>
    <col min="25" max="25" width="8.5703125" hidden="1" customWidth="1"/>
    <col min="26" max="28" width="11.85546875" hidden="1" customWidth="1"/>
    <col min="29" max="32" width="11.42578125" hidden="1" customWidth="1"/>
    <col min="33" max="33" width="11.42578125" customWidth="1"/>
    <col min="34" max="34" width="0" hidden="1" customWidth="1"/>
  </cols>
  <sheetData>
    <row r="1" spans="1:40" x14ac:dyDescent="0.25">
      <c r="A1" t="s">
        <v>46</v>
      </c>
      <c r="D1" t="s">
        <v>50</v>
      </c>
    </row>
    <row r="2" spans="1:40" x14ac:dyDescent="0.25">
      <c r="A2" t="s">
        <v>47</v>
      </c>
      <c r="D2">
        <v>1</v>
      </c>
    </row>
    <row r="3" spans="1:40" x14ac:dyDescent="0.25">
      <c r="A3" t="s">
        <v>48</v>
      </c>
      <c r="D3" t="s">
        <v>49</v>
      </c>
    </row>
    <row r="5" spans="1:40" ht="45" x14ac:dyDescent="0.25">
      <c r="A5" s="9" t="s">
        <v>0</v>
      </c>
      <c r="B5" s="9" t="s">
        <v>1</v>
      </c>
      <c r="C5" s="9"/>
      <c r="D5" s="9" t="s">
        <v>2</v>
      </c>
      <c r="E5" s="9"/>
      <c r="F5" s="9" t="s">
        <v>3</v>
      </c>
      <c r="G5" s="9"/>
      <c r="H5" s="9" t="s">
        <v>30</v>
      </c>
      <c r="I5" s="9" t="s">
        <v>37</v>
      </c>
      <c r="J5" s="9" t="s">
        <v>38</v>
      </c>
      <c r="K5" s="11"/>
      <c r="L5" s="9" t="s">
        <v>34</v>
      </c>
      <c r="M5" s="9" t="s">
        <v>33</v>
      </c>
      <c r="N5" s="9" t="s">
        <v>33</v>
      </c>
      <c r="O5" s="9" t="s">
        <v>32</v>
      </c>
      <c r="P5" s="9" t="s">
        <v>32</v>
      </c>
      <c r="Q5" s="9" t="s">
        <v>31</v>
      </c>
      <c r="R5" s="9" t="s">
        <v>31</v>
      </c>
      <c r="S5" s="9" t="s">
        <v>35</v>
      </c>
      <c r="T5" s="10"/>
      <c r="U5" s="9" t="s">
        <v>36</v>
      </c>
      <c r="V5" s="9" t="s">
        <v>39</v>
      </c>
      <c r="W5" s="9" t="s">
        <v>40</v>
      </c>
      <c r="X5" s="9" t="s">
        <v>42</v>
      </c>
      <c r="Y5" s="9" t="s">
        <v>41</v>
      </c>
      <c r="Z5" s="9" t="s">
        <v>43</v>
      </c>
      <c r="AA5" s="9" t="s">
        <v>44</v>
      </c>
      <c r="AB5" s="9" t="s">
        <v>45</v>
      </c>
      <c r="AF5" s="9" t="s">
        <v>39</v>
      </c>
      <c r="AG5" s="9" t="s">
        <v>59</v>
      </c>
      <c r="AH5" s="9" t="s">
        <v>60</v>
      </c>
      <c r="AI5" s="9" t="s">
        <v>61</v>
      </c>
      <c r="AJ5" s="9" t="s">
        <v>62</v>
      </c>
      <c r="AK5" s="15" t="s">
        <v>63</v>
      </c>
      <c r="AL5" s="15" t="s">
        <v>64</v>
      </c>
      <c r="AM5" s="15" t="s">
        <v>65</v>
      </c>
      <c r="AN5" s="15" t="s">
        <v>66</v>
      </c>
    </row>
    <row r="6" spans="1:40" x14ac:dyDescent="0.25">
      <c r="A6" s="2" t="s">
        <v>22</v>
      </c>
      <c r="B6" s="3" t="s">
        <v>29</v>
      </c>
      <c r="C6" s="3" t="s">
        <v>5</v>
      </c>
      <c r="D6" s="4" t="s">
        <v>17</v>
      </c>
      <c r="E6" s="4" t="s">
        <v>17</v>
      </c>
      <c r="F6" s="5" t="s">
        <v>19</v>
      </c>
      <c r="G6" s="5" t="s">
        <v>22</v>
      </c>
      <c r="H6" s="8" t="s">
        <v>23</v>
      </c>
      <c r="I6" s="12">
        <v>1</v>
      </c>
      <c r="J6" s="12">
        <v>26</v>
      </c>
      <c r="K6" t="s">
        <v>23</v>
      </c>
      <c r="L6" s="7"/>
      <c r="M6" s="7">
        <v>-3</v>
      </c>
      <c r="N6" s="7">
        <v>-3</v>
      </c>
      <c r="O6" s="7"/>
      <c r="P6" s="7"/>
      <c r="Q6" s="7"/>
      <c r="R6" s="7"/>
      <c r="S6" s="7"/>
      <c r="T6" s="1"/>
      <c r="U6" s="2">
        <v>1</v>
      </c>
      <c r="V6" s="2" t="s">
        <v>9</v>
      </c>
      <c r="W6" s="2" t="str">
        <f>ObtenerPrimera26(V6,$A$6:$J$31,$L$6:$S$31,U6)</f>
        <v>2-D</v>
      </c>
      <c r="X6" s="2" t="str">
        <f>ObtenerPrimeraDuplicado26(W6,$A$6:$J$31,$L$6:$S$10,U6)</f>
        <v>18-D</v>
      </c>
      <c r="Y6" s="2" t="str">
        <f>ObtenerPrimera26Inversa(V6,$A$6:$J$31,$L$6:$S$31,U6)</f>
        <v>25-D</v>
      </c>
      <c r="Z6" s="2" t="str">
        <f>ObtenerPrimeraDuplicado26Inversa(W6,$A$6:$J$31,$L$6:$S$10,U6)</f>
        <v>9-D</v>
      </c>
      <c r="AA6" s="2" t="str">
        <f>ObtenerSegundaDesdeOriginal26(W6,$A$6:$J$31,$L$6:$S$31,U6)</f>
        <v>9-X</v>
      </c>
      <c r="AB6" s="2" t="str">
        <f>ObtenerSegundaDesdeDuplicado26(X6,$A$6:$J$31,$L$6:$S$31,U6)</f>
        <v>9-X</v>
      </c>
      <c r="AF6" s="2" t="s">
        <v>9</v>
      </c>
      <c r="AG6" s="12">
        <v>20</v>
      </c>
      <c r="AH6" s="12">
        <v>26</v>
      </c>
      <c r="AI6" s="12">
        <v>0</v>
      </c>
      <c r="AJ6" s="12">
        <f>AG6+AI6</f>
        <v>20</v>
      </c>
      <c r="AK6" s="12">
        <f>IF(AJ6&gt;26,AJ6-26,AJ6)</f>
        <v>20</v>
      </c>
      <c r="AL6" s="12" t="str">
        <f>VLOOKUP(AK6,$I$6:$K$31,3,0)</f>
        <v>F</v>
      </c>
      <c r="AM6" s="12" t="str">
        <f>AK6&amp;"-"&amp;AL6</f>
        <v>20-F</v>
      </c>
      <c r="AN6" s="12" t="str">
        <f>ObtenerSegundaDesdeDuplicado26(AM6,$A$6:$H$31,$L$6:$S$31,U6)</f>
        <v>19-N</v>
      </c>
    </row>
    <row r="7" spans="1:40" x14ac:dyDescent="0.25">
      <c r="A7" s="2" t="s">
        <v>21</v>
      </c>
      <c r="B7" s="3" t="s">
        <v>4</v>
      </c>
      <c r="C7" s="3" t="s">
        <v>13</v>
      </c>
      <c r="D7" s="4" t="s">
        <v>18</v>
      </c>
      <c r="E7" s="4" t="s">
        <v>26</v>
      </c>
      <c r="F7" s="5" t="s">
        <v>20</v>
      </c>
      <c r="G7" s="5" t="s">
        <v>24</v>
      </c>
      <c r="H7" s="8" t="s">
        <v>20</v>
      </c>
      <c r="I7" s="12">
        <v>2</v>
      </c>
      <c r="J7" s="12">
        <v>25</v>
      </c>
      <c r="K7" t="s">
        <v>20</v>
      </c>
      <c r="L7" s="7"/>
      <c r="M7" s="7"/>
      <c r="N7" s="7"/>
      <c r="O7" s="7">
        <v>5</v>
      </c>
      <c r="P7" s="7">
        <v>5</v>
      </c>
      <c r="Q7" s="7"/>
      <c r="R7" s="7"/>
      <c r="S7" s="7"/>
      <c r="T7" s="1"/>
      <c r="U7" s="2">
        <v>2</v>
      </c>
      <c r="V7" s="2" t="s">
        <v>21</v>
      </c>
      <c r="W7" s="2" t="str">
        <f t="shared" ref="W7:W25" si="0">ObtenerPrimera26(V7,$A$6:$J$31,$L$6:$S$31,U7)</f>
        <v>15-A</v>
      </c>
      <c r="X7" s="2" t="str">
        <f t="shared" ref="X7:X25" si="1">ObtenerPrimeraDuplicado26(W7,$A$6:$J$31,$L$6:$S$10,U7)</f>
        <v>13-A</v>
      </c>
      <c r="Y7" s="2" t="str">
        <f t="shared" ref="Y7:Y25" si="2">ObtenerPrimera26Inversa(V7,$A$6:$J$31,$L$6:$S$31,U7)</f>
        <v>12-A</v>
      </c>
      <c r="Z7" s="2" t="str">
        <f t="shared" ref="Z7:Z25" si="3">ObtenerPrimeraDuplicado26Inversa(W7,$A$6:$J$31,$L$6:$S$10,U7)</f>
        <v>14-A</v>
      </c>
      <c r="AA7" s="2" t="str">
        <f t="shared" ref="AA7:AA25" si="4">ObtenerSegundaDesdeOriginal26(W7,$A$6:$J$31,$L$6:$S$31,U7)</f>
        <v>3-D</v>
      </c>
      <c r="AB7" s="2" t="str">
        <f t="shared" ref="AB7:AB25" si="5">ObtenerSegundaDesdeDuplicado26(X7,$A$6:$J$31,$L$6:$S$31,U7)</f>
        <v>3-D</v>
      </c>
      <c r="AF7" s="2" t="s">
        <v>21</v>
      </c>
      <c r="AG7" s="12">
        <v>28</v>
      </c>
      <c r="AH7" s="12">
        <v>12</v>
      </c>
      <c r="AI7" s="12">
        <v>19</v>
      </c>
      <c r="AJ7" s="12">
        <f t="shared" ref="AJ7:AJ25" si="6">AG7+AI7</f>
        <v>47</v>
      </c>
      <c r="AK7" s="12">
        <f t="shared" ref="AK7:AK25" si="7">IF(AJ7&gt;26,AJ7-26,AJ7)</f>
        <v>21</v>
      </c>
      <c r="AL7" s="12" t="str">
        <f t="shared" ref="AL7:AL25" si="8">VLOOKUP(AK7,$I$6:$K$31,3,0)</f>
        <v>M</v>
      </c>
      <c r="AM7" s="12" t="str">
        <f t="shared" ref="AM7:AM25" si="9">AK7&amp;"-"&amp;AL7</f>
        <v>21-M</v>
      </c>
      <c r="AN7" s="12" t="str">
        <f t="shared" ref="AN7:AN25" si="10">ObtenerSegundaDesdeDuplicado26(AM7,$A$6:$H$31,$L$6:$S$31,U7)</f>
        <v>22-K</v>
      </c>
    </row>
    <row r="8" spans="1:40" x14ac:dyDescent="0.25">
      <c r="A8" s="2" t="s">
        <v>20</v>
      </c>
      <c r="B8" s="3" t="s">
        <v>5</v>
      </c>
      <c r="C8" s="3" t="s">
        <v>15</v>
      </c>
      <c r="D8" s="4" t="s">
        <v>19</v>
      </c>
      <c r="E8" s="4" t="s">
        <v>20</v>
      </c>
      <c r="F8" s="5" t="s">
        <v>21</v>
      </c>
      <c r="G8" s="5" t="s">
        <v>26</v>
      </c>
      <c r="H8" s="8" t="s">
        <v>25</v>
      </c>
      <c r="I8" s="12">
        <v>3</v>
      </c>
      <c r="J8" s="12">
        <v>24</v>
      </c>
      <c r="K8" t="s">
        <v>25</v>
      </c>
      <c r="L8" s="7"/>
      <c r="M8" s="7"/>
      <c r="N8" s="7"/>
      <c r="O8" s="7"/>
      <c r="P8" s="7"/>
      <c r="Q8" s="7">
        <v>-7</v>
      </c>
      <c r="R8" s="7">
        <v>-7</v>
      </c>
      <c r="S8" s="7"/>
      <c r="T8" s="1"/>
      <c r="U8" s="2">
        <v>3</v>
      </c>
      <c r="V8" s="2" t="s">
        <v>23</v>
      </c>
      <c r="W8" s="2" t="str">
        <f t="shared" si="0"/>
        <v>26-B</v>
      </c>
      <c r="X8" s="2" t="str">
        <f t="shared" si="1"/>
        <v>16-B</v>
      </c>
      <c r="Y8" s="2" t="str">
        <f t="shared" si="2"/>
        <v>1-B</v>
      </c>
      <c r="Z8" s="2" t="str">
        <f t="shared" si="3"/>
        <v>11-B</v>
      </c>
      <c r="AA8" s="2" t="str">
        <f t="shared" si="4"/>
        <v>24-I</v>
      </c>
      <c r="AB8" s="2" t="str">
        <f t="shared" si="5"/>
        <v>24-I</v>
      </c>
      <c r="AF8" s="2" t="s">
        <v>23</v>
      </c>
      <c r="AG8" s="12">
        <f>26+16</f>
        <v>42</v>
      </c>
      <c r="AH8" s="12">
        <v>13</v>
      </c>
      <c r="AI8" s="12">
        <v>1</v>
      </c>
      <c r="AJ8" s="12">
        <f t="shared" si="6"/>
        <v>43</v>
      </c>
      <c r="AK8" s="12">
        <f t="shared" si="7"/>
        <v>17</v>
      </c>
      <c r="AL8" s="12" t="str">
        <f t="shared" si="8"/>
        <v>C</v>
      </c>
      <c r="AM8" s="12" t="str">
        <f t="shared" si="9"/>
        <v>17-C</v>
      </c>
      <c r="AN8" s="12" t="str">
        <f t="shared" si="10"/>
        <v>6-A</v>
      </c>
    </row>
    <row r="9" spans="1:40" x14ac:dyDescent="0.25">
      <c r="A9" s="2" t="s">
        <v>19</v>
      </c>
      <c r="B9" s="3" t="s">
        <v>6</v>
      </c>
      <c r="C9" s="3" t="s">
        <v>24</v>
      </c>
      <c r="D9" s="4" t="s">
        <v>20</v>
      </c>
      <c r="E9" s="4" t="s">
        <v>27</v>
      </c>
      <c r="F9" s="5" t="s">
        <v>22</v>
      </c>
      <c r="G9" s="5" t="s">
        <v>28</v>
      </c>
      <c r="H9" s="8" t="s">
        <v>26</v>
      </c>
      <c r="I9" s="12">
        <v>4</v>
      </c>
      <c r="J9" s="12">
        <v>23</v>
      </c>
      <c r="K9" t="s">
        <v>26</v>
      </c>
      <c r="L9" s="7"/>
      <c r="M9" s="7">
        <v>-3</v>
      </c>
      <c r="N9" s="7">
        <v>-3</v>
      </c>
      <c r="O9" s="7"/>
      <c r="P9" s="7"/>
      <c r="Q9" s="7"/>
      <c r="R9" s="7"/>
      <c r="S9" s="7"/>
      <c r="T9" s="1"/>
      <c r="U9" s="2">
        <v>4</v>
      </c>
      <c r="V9" s="2" t="s">
        <v>11</v>
      </c>
      <c r="W9" s="2" t="str">
        <f t="shared" si="0"/>
        <v>13-A</v>
      </c>
      <c r="X9" s="2" t="str">
        <f t="shared" si="1"/>
        <v>15-A</v>
      </c>
      <c r="Y9" s="2" t="str">
        <f t="shared" si="2"/>
        <v>14-A</v>
      </c>
      <c r="Z9" s="2" t="str">
        <f t="shared" si="3"/>
        <v>12-A</v>
      </c>
      <c r="AA9" s="2" t="str">
        <f t="shared" si="4"/>
        <v>4-C</v>
      </c>
      <c r="AB9" s="2" t="str">
        <f t="shared" si="5"/>
        <v>4-C</v>
      </c>
      <c r="AF9" s="2" t="s">
        <v>11</v>
      </c>
      <c r="AG9" s="12">
        <v>28</v>
      </c>
      <c r="AH9" s="12">
        <v>13</v>
      </c>
      <c r="AI9" s="12">
        <v>0</v>
      </c>
      <c r="AJ9" s="12">
        <f t="shared" si="6"/>
        <v>28</v>
      </c>
      <c r="AK9" s="12">
        <f t="shared" si="7"/>
        <v>2</v>
      </c>
      <c r="AL9" s="12" t="str">
        <f t="shared" si="8"/>
        <v>D</v>
      </c>
      <c r="AM9" s="12" t="str">
        <f t="shared" si="9"/>
        <v>2-D</v>
      </c>
      <c r="AN9" s="12" t="str">
        <f t="shared" si="10"/>
        <v>22-K</v>
      </c>
    </row>
    <row r="10" spans="1:40" x14ac:dyDescent="0.25">
      <c r="A10" s="2" t="s">
        <v>18</v>
      </c>
      <c r="B10" s="3" t="s">
        <v>7</v>
      </c>
      <c r="C10" s="3" t="s">
        <v>14</v>
      </c>
      <c r="D10" s="4" t="s">
        <v>21</v>
      </c>
      <c r="E10" s="4" t="s">
        <v>9</v>
      </c>
      <c r="F10" s="5" t="s">
        <v>23</v>
      </c>
      <c r="G10" s="5" t="s">
        <v>19</v>
      </c>
      <c r="H10" s="8" t="s">
        <v>27</v>
      </c>
      <c r="I10" s="12">
        <v>5</v>
      </c>
      <c r="J10" s="12">
        <v>22</v>
      </c>
      <c r="K10" t="s">
        <v>27</v>
      </c>
      <c r="L10" s="7"/>
      <c r="M10" s="7"/>
      <c r="N10" s="7"/>
      <c r="O10" s="7">
        <v>5</v>
      </c>
      <c r="P10" s="7">
        <v>5</v>
      </c>
      <c r="Q10" s="7"/>
      <c r="R10" s="7"/>
      <c r="S10" s="7"/>
      <c r="T10" s="1"/>
      <c r="U10" s="2">
        <v>5</v>
      </c>
      <c r="V10" s="2" t="s">
        <v>8</v>
      </c>
      <c r="W10" s="2" t="str">
        <f t="shared" si="0"/>
        <v>13-A</v>
      </c>
      <c r="X10" s="2" t="str">
        <f t="shared" si="1"/>
        <v>15-A</v>
      </c>
      <c r="Y10" s="2" t="str">
        <f t="shared" si="2"/>
        <v>14-A</v>
      </c>
      <c r="Z10" s="2" t="str">
        <f t="shared" si="3"/>
        <v>12-A</v>
      </c>
      <c r="AA10" s="2" t="str">
        <f t="shared" si="4"/>
        <v>20-M</v>
      </c>
      <c r="AB10" s="2" t="str">
        <f t="shared" si="5"/>
        <v>20-M</v>
      </c>
      <c r="AF10" s="2" t="s">
        <v>8</v>
      </c>
      <c r="AG10" s="12">
        <v>28</v>
      </c>
      <c r="AH10" s="12">
        <v>13</v>
      </c>
      <c r="AI10" s="12">
        <v>0</v>
      </c>
      <c r="AJ10" s="12">
        <f t="shared" si="6"/>
        <v>28</v>
      </c>
      <c r="AK10" s="12">
        <f t="shared" si="7"/>
        <v>2</v>
      </c>
      <c r="AL10" s="12" t="str">
        <f t="shared" si="8"/>
        <v>D</v>
      </c>
      <c r="AM10" s="12" t="str">
        <f t="shared" si="9"/>
        <v>2-D</v>
      </c>
      <c r="AN10" s="12" t="str">
        <f t="shared" si="10"/>
        <v>5-B</v>
      </c>
    </row>
    <row r="11" spans="1:40" x14ac:dyDescent="0.25">
      <c r="A11" s="2" t="s">
        <v>17</v>
      </c>
      <c r="B11" s="3" t="s">
        <v>8</v>
      </c>
      <c r="C11" s="3" t="s">
        <v>11</v>
      </c>
      <c r="D11" s="4" t="s">
        <v>22</v>
      </c>
      <c r="E11" s="4" t="s">
        <v>25</v>
      </c>
      <c r="F11" s="5" t="s">
        <v>24</v>
      </c>
      <c r="G11" s="5" t="s">
        <v>6</v>
      </c>
      <c r="H11" s="8" t="s">
        <v>23</v>
      </c>
      <c r="I11" s="12">
        <v>6</v>
      </c>
      <c r="J11" s="12">
        <v>21</v>
      </c>
      <c r="K11" t="s">
        <v>23</v>
      </c>
      <c r="L11" s="7"/>
      <c r="M11" s="7"/>
      <c r="N11" s="7"/>
      <c r="O11" s="7"/>
      <c r="P11" s="7"/>
      <c r="Q11" s="7">
        <v>-7</v>
      </c>
      <c r="R11" s="7">
        <v>-7</v>
      </c>
      <c r="S11" s="7"/>
      <c r="T11" s="1"/>
      <c r="U11" s="2">
        <v>6</v>
      </c>
      <c r="V11" s="2" t="s">
        <v>25</v>
      </c>
      <c r="W11" s="2" t="str">
        <f t="shared" si="0"/>
        <v>24-I</v>
      </c>
      <c r="X11" s="2" t="str">
        <f t="shared" si="1"/>
        <v>3-I</v>
      </c>
      <c r="Y11" s="2" t="str">
        <f t="shared" si="2"/>
        <v>3-I</v>
      </c>
      <c r="Z11" s="2" t="str">
        <f t="shared" si="3"/>
        <v>24-I</v>
      </c>
      <c r="AA11" s="2" t="str">
        <f t="shared" si="4"/>
        <v>1-F</v>
      </c>
      <c r="AB11" s="2" t="str">
        <f t="shared" si="5"/>
        <v>1-F</v>
      </c>
      <c r="AF11" s="2" t="s">
        <v>25</v>
      </c>
      <c r="AG11" s="12">
        <v>27</v>
      </c>
      <c r="AH11" s="12">
        <v>26</v>
      </c>
      <c r="AI11" s="12">
        <v>3</v>
      </c>
      <c r="AJ11" s="12">
        <f t="shared" si="6"/>
        <v>30</v>
      </c>
      <c r="AK11" s="12">
        <f t="shared" si="7"/>
        <v>4</v>
      </c>
      <c r="AL11" s="12" t="str">
        <f t="shared" si="8"/>
        <v>J</v>
      </c>
      <c r="AM11" s="12" t="str">
        <f t="shared" si="9"/>
        <v>4-J</v>
      </c>
      <c r="AN11" s="12" t="str">
        <f t="shared" si="10"/>
        <v>3-D</v>
      </c>
    </row>
    <row r="12" spans="1:40" x14ac:dyDescent="0.25">
      <c r="A12" s="2" t="s">
        <v>16</v>
      </c>
      <c r="B12" s="3" t="s">
        <v>9</v>
      </c>
      <c r="C12" s="3" t="s">
        <v>9</v>
      </c>
      <c r="D12" s="4" t="s">
        <v>23</v>
      </c>
      <c r="E12" s="4" t="s">
        <v>8</v>
      </c>
      <c r="F12" s="5" t="s">
        <v>25</v>
      </c>
      <c r="G12" s="5" t="s">
        <v>8</v>
      </c>
      <c r="H12" s="3" t="s">
        <v>22</v>
      </c>
      <c r="I12" s="12">
        <v>7</v>
      </c>
      <c r="J12" s="12">
        <v>20</v>
      </c>
      <c r="K12" t="s">
        <v>22</v>
      </c>
      <c r="L12" s="7"/>
      <c r="M12" s="7">
        <v>-3</v>
      </c>
      <c r="N12" s="7">
        <v>-3</v>
      </c>
      <c r="O12" s="7"/>
      <c r="P12" s="7"/>
      <c r="Q12" s="7"/>
      <c r="R12" s="7"/>
      <c r="S12" s="7"/>
      <c r="T12" s="1"/>
      <c r="U12" s="2">
        <v>7</v>
      </c>
      <c r="V12" s="2" t="s">
        <v>20</v>
      </c>
      <c r="W12" s="2" t="str">
        <f t="shared" si="0"/>
        <v>5-K</v>
      </c>
      <c r="X12" s="2" t="str">
        <f t="shared" si="1"/>
        <v>22-K</v>
      </c>
      <c r="Y12" s="2" t="str">
        <f t="shared" si="2"/>
        <v>22-K</v>
      </c>
      <c r="Z12" s="2" t="str">
        <f t="shared" si="3"/>
        <v>5-K</v>
      </c>
      <c r="AA12" s="2" t="str">
        <f t="shared" si="4"/>
        <v>9-X</v>
      </c>
      <c r="AB12" s="2" t="str">
        <f t="shared" si="5"/>
        <v>9-X</v>
      </c>
      <c r="AF12" s="2" t="s">
        <v>20</v>
      </c>
      <c r="AG12" s="12">
        <v>27</v>
      </c>
      <c r="AH12" s="12">
        <v>13</v>
      </c>
      <c r="AI12" s="12">
        <v>2</v>
      </c>
      <c r="AJ12" s="12">
        <f t="shared" si="6"/>
        <v>29</v>
      </c>
      <c r="AK12" s="12">
        <f t="shared" si="7"/>
        <v>3</v>
      </c>
      <c r="AL12" s="12" t="str">
        <f t="shared" si="8"/>
        <v>I</v>
      </c>
      <c r="AM12" s="12" t="str">
        <f t="shared" si="9"/>
        <v>3-I</v>
      </c>
      <c r="AN12" s="12" t="str">
        <f t="shared" si="10"/>
        <v>18-O</v>
      </c>
    </row>
    <row r="13" spans="1:40" x14ac:dyDescent="0.25">
      <c r="A13" s="2" t="s">
        <v>15</v>
      </c>
      <c r="B13" s="3" t="s">
        <v>10</v>
      </c>
      <c r="C13" s="3" t="s">
        <v>6</v>
      </c>
      <c r="D13" s="4" t="s">
        <v>24</v>
      </c>
      <c r="E13" s="4" t="s">
        <v>11</v>
      </c>
      <c r="F13" s="5" t="s">
        <v>26</v>
      </c>
      <c r="G13" s="5" t="s">
        <v>10</v>
      </c>
      <c r="H13" s="3" t="s">
        <v>10</v>
      </c>
      <c r="I13" s="12">
        <v>8</v>
      </c>
      <c r="J13" s="12">
        <v>19</v>
      </c>
      <c r="K13" t="s">
        <v>10</v>
      </c>
      <c r="L13" s="7"/>
      <c r="M13" s="7"/>
      <c r="N13" s="7"/>
      <c r="O13" s="7">
        <v>5</v>
      </c>
      <c r="P13" s="7">
        <v>5</v>
      </c>
      <c r="Q13" s="7"/>
      <c r="R13" s="7"/>
      <c r="S13" s="7"/>
      <c r="T13" s="1"/>
      <c r="U13" s="2">
        <v>8</v>
      </c>
      <c r="V13" s="2" t="s">
        <v>17</v>
      </c>
      <c r="W13" s="2" t="str">
        <f t="shared" si="0"/>
        <v>13-A</v>
      </c>
      <c r="X13" s="2" t="str">
        <f t="shared" si="1"/>
        <v>15-A</v>
      </c>
      <c r="Y13" s="2" t="str">
        <f t="shared" si="2"/>
        <v>14-A</v>
      </c>
      <c r="Z13" s="2" t="str">
        <f t="shared" si="3"/>
        <v>12-A</v>
      </c>
      <c r="AA13" s="2" t="str">
        <f t="shared" si="4"/>
        <v>7-Z</v>
      </c>
      <c r="AB13" s="2" t="str">
        <f t="shared" si="5"/>
        <v>7-Z</v>
      </c>
      <c r="AF13" s="2" t="s">
        <v>17</v>
      </c>
      <c r="AG13" s="12">
        <v>28</v>
      </c>
      <c r="AH13" s="12">
        <v>13</v>
      </c>
      <c r="AI13" s="12">
        <v>13</v>
      </c>
      <c r="AJ13" s="12">
        <f t="shared" si="6"/>
        <v>41</v>
      </c>
      <c r="AK13" s="12">
        <f t="shared" si="7"/>
        <v>15</v>
      </c>
      <c r="AL13" s="12" t="str">
        <f t="shared" si="8"/>
        <v>A</v>
      </c>
      <c r="AM13" s="12" t="str">
        <f t="shared" si="9"/>
        <v>15-A</v>
      </c>
      <c r="AN13" s="12" t="str">
        <f t="shared" si="10"/>
        <v>7-Z</v>
      </c>
    </row>
    <row r="14" spans="1:40" x14ac:dyDescent="0.25">
      <c r="A14" s="2" t="s">
        <v>14</v>
      </c>
      <c r="B14" s="3" t="s">
        <v>11</v>
      </c>
      <c r="C14" s="3" t="s">
        <v>17</v>
      </c>
      <c r="D14" s="4" t="s">
        <v>25</v>
      </c>
      <c r="E14" s="4" t="s">
        <v>14</v>
      </c>
      <c r="F14" s="5" t="s">
        <v>27</v>
      </c>
      <c r="G14" s="5" t="s">
        <v>14</v>
      </c>
      <c r="H14" s="3" t="s">
        <v>19</v>
      </c>
      <c r="I14" s="12">
        <v>9</v>
      </c>
      <c r="J14" s="12">
        <v>18</v>
      </c>
      <c r="K14" t="s">
        <v>19</v>
      </c>
      <c r="L14" s="7"/>
      <c r="M14" s="7"/>
      <c r="N14" s="7"/>
      <c r="O14" s="7"/>
      <c r="P14" s="7"/>
      <c r="Q14" s="7">
        <v>-7</v>
      </c>
      <c r="R14" s="7">
        <v>-7</v>
      </c>
      <c r="S14" s="7"/>
      <c r="T14" s="1"/>
      <c r="U14" s="2">
        <v>9</v>
      </c>
      <c r="V14" s="2" t="s">
        <v>20</v>
      </c>
      <c r="W14" s="2" t="str">
        <f t="shared" si="0"/>
        <v>16-B</v>
      </c>
      <c r="X14" s="2" t="str">
        <f t="shared" si="1"/>
        <v>26-B</v>
      </c>
      <c r="Y14" s="2" t="str">
        <f t="shared" si="2"/>
        <v>11-B</v>
      </c>
      <c r="Z14" s="2" t="str">
        <f t="shared" si="3"/>
        <v>1-B</v>
      </c>
      <c r="AA14" s="2" t="str">
        <f t="shared" si="4"/>
        <v>10-W</v>
      </c>
      <c r="AB14" s="2" t="str">
        <f t="shared" si="5"/>
        <v>10-W</v>
      </c>
      <c r="AF14" s="2" t="s">
        <v>20</v>
      </c>
      <c r="AG14" s="12">
        <f>16+26</f>
        <v>42</v>
      </c>
      <c r="AH14" s="12">
        <v>7</v>
      </c>
      <c r="AI14" s="12">
        <v>2</v>
      </c>
      <c r="AJ14" s="12">
        <f>AG14+AI14</f>
        <v>44</v>
      </c>
      <c r="AK14" s="12">
        <f t="shared" si="7"/>
        <v>18</v>
      </c>
      <c r="AL14" s="12" t="str">
        <f t="shared" si="8"/>
        <v>D</v>
      </c>
      <c r="AM14" s="12" t="str">
        <f t="shared" si="9"/>
        <v>18-D</v>
      </c>
      <c r="AN14" s="12" t="str">
        <f t="shared" si="10"/>
        <v>18-O</v>
      </c>
    </row>
    <row r="15" spans="1:40" x14ac:dyDescent="0.25">
      <c r="A15" s="2" t="s">
        <v>13</v>
      </c>
      <c r="B15" s="3" t="s">
        <v>12</v>
      </c>
      <c r="C15" s="3" t="s">
        <v>25</v>
      </c>
      <c r="D15" s="4" t="s">
        <v>26</v>
      </c>
      <c r="E15" s="4" t="s">
        <v>18</v>
      </c>
      <c r="F15" s="5" t="s">
        <v>28</v>
      </c>
      <c r="G15" s="5" t="s">
        <v>12</v>
      </c>
      <c r="H15" s="3" t="s">
        <v>12</v>
      </c>
      <c r="I15" s="12">
        <v>10</v>
      </c>
      <c r="J15" s="12">
        <v>17</v>
      </c>
      <c r="K15" t="s">
        <v>12</v>
      </c>
      <c r="L15" s="2"/>
      <c r="M15" s="7">
        <v>-3</v>
      </c>
      <c r="N15" s="7">
        <v>-3</v>
      </c>
      <c r="O15" s="7"/>
      <c r="P15" s="7"/>
      <c r="Q15" s="7"/>
      <c r="R15" s="7"/>
      <c r="S15" s="2"/>
      <c r="T15" s="1"/>
      <c r="U15" s="2">
        <v>10</v>
      </c>
      <c r="V15" s="2" t="s">
        <v>25</v>
      </c>
      <c r="W15" s="2" t="str">
        <f t="shared" si="0"/>
        <v>13-A</v>
      </c>
      <c r="X15" s="2" t="str">
        <f t="shared" si="1"/>
        <v>15-A</v>
      </c>
      <c r="Y15" s="2" t="str">
        <f t="shared" si="2"/>
        <v>14-A</v>
      </c>
      <c r="Z15" s="2" t="str">
        <f t="shared" si="3"/>
        <v>12-A</v>
      </c>
      <c r="AA15" s="2" t="str">
        <f t="shared" si="4"/>
        <v>15-R</v>
      </c>
      <c r="AB15" s="2" t="str">
        <f t="shared" si="5"/>
        <v>15-R</v>
      </c>
      <c r="AF15" s="2" t="s">
        <v>25</v>
      </c>
      <c r="AG15" s="12">
        <v>28</v>
      </c>
      <c r="AH15" s="12">
        <v>13</v>
      </c>
      <c r="AI15" s="12">
        <v>3</v>
      </c>
      <c r="AJ15" s="12">
        <f>AG15+AI15</f>
        <v>31</v>
      </c>
      <c r="AK15" s="12">
        <f t="shared" si="7"/>
        <v>5</v>
      </c>
      <c r="AL15" s="12" t="str">
        <f t="shared" si="8"/>
        <v>K</v>
      </c>
      <c r="AM15" s="12" t="str">
        <f t="shared" si="9"/>
        <v>5-K</v>
      </c>
      <c r="AN15" s="12" t="str">
        <f t="shared" si="10"/>
        <v>1-F</v>
      </c>
    </row>
    <row r="16" spans="1:40" x14ac:dyDescent="0.25">
      <c r="A16" s="2" t="s">
        <v>12</v>
      </c>
      <c r="B16" s="3" t="s">
        <v>13</v>
      </c>
      <c r="C16" s="3" t="s">
        <v>18</v>
      </c>
      <c r="D16" s="4" t="s">
        <v>27</v>
      </c>
      <c r="E16" s="4" t="s">
        <v>28</v>
      </c>
      <c r="F16" s="5" t="s">
        <v>29</v>
      </c>
      <c r="G16" s="5" t="s">
        <v>16</v>
      </c>
      <c r="H16" s="3" t="s">
        <v>12</v>
      </c>
      <c r="I16" s="12">
        <v>11</v>
      </c>
      <c r="J16" s="12">
        <v>16</v>
      </c>
      <c r="K16" t="s">
        <v>12</v>
      </c>
      <c r="L16" s="2"/>
      <c r="M16" s="7"/>
      <c r="N16" s="7"/>
      <c r="O16" s="7">
        <v>5</v>
      </c>
      <c r="P16" s="7">
        <v>5</v>
      </c>
      <c r="Q16" s="7"/>
      <c r="R16" s="7"/>
      <c r="S16" s="2"/>
      <c r="T16" s="1"/>
      <c r="U16" s="2">
        <v>11</v>
      </c>
      <c r="V16" s="2" t="s">
        <v>4</v>
      </c>
      <c r="W16" s="2" t="str">
        <f t="shared" si="0"/>
        <v>13-A</v>
      </c>
      <c r="X16" s="2" t="str">
        <f t="shared" si="1"/>
        <v>15-A</v>
      </c>
      <c r="Y16" s="2" t="str">
        <f t="shared" si="2"/>
        <v>14-A</v>
      </c>
      <c r="Z16" s="2" t="str">
        <f t="shared" si="3"/>
        <v>12-A</v>
      </c>
      <c r="AA16" s="2" t="str">
        <f t="shared" si="4"/>
        <v>23-J</v>
      </c>
      <c r="AB16" s="2" t="str">
        <f t="shared" si="5"/>
        <v>23-J</v>
      </c>
      <c r="AF16" s="2" t="s">
        <v>4</v>
      </c>
      <c r="AG16" s="12">
        <v>28</v>
      </c>
      <c r="AH16" s="12">
        <v>13</v>
      </c>
      <c r="AI16" s="12">
        <v>0</v>
      </c>
      <c r="AJ16" s="12">
        <f>AG16+AI16</f>
        <v>28</v>
      </c>
      <c r="AK16" s="12">
        <f t="shared" si="7"/>
        <v>2</v>
      </c>
      <c r="AL16" s="12" t="str">
        <f t="shared" si="8"/>
        <v>D</v>
      </c>
      <c r="AM16" s="12" t="str">
        <f t="shared" si="9"/>
        <v>2-D</v>
      </c>
      <c r="AN16" s="12" t="str">
        <f t="shared" si="10"/>
        <v>22-K</v>
      </c>
    </row>
    <row r="17" spans="1:40" x14ac:dyDescent="0.25">
      <c r="A17" s="2" t="s">
        <v>11</v>
      </c>
      <c r="B17" s="3" t="s">
        <v>14</v>
      </c>
      <c r="C17" s="3" t="s">
        <v>8</v>
      </c>
      <c r="D17" s="4" t="s">
        <v>28</v>
      </c>
      <c r="E17" s="4" t="s">
        <v>24</v>
      </c>
      <c r="F17" s="5" t="s">
        <v>4</v>
      </c>
      <c r="G17" s="5" t="s">
        <v>4</v>
      </c>
      <c r="H17" s="3" t="s">
        <v>26</v>
      </c>
      <c r="I17" s="12">
        <v>12</v>
      </c>
      <c r="J17" s="12">
        <v>15</v>
      </c>
      <c r="K17" t="s">
        <v>26</v>
      </c>
      <c r="L17" s="2"/>
      <c r="M17" s="7"/>
      <c r="N17" s="7"/>
      <c r="O17" s="7"/>
      <c r="P17" s="7"/>
      <c r="Q17" s="7">
        <v>-7</v>
      </c>
      <c r="R17" s="7">
        <v>-7</v>
      </c>
      <c r="S17" s="2"/>
      <c r="T17" s="1"/>
      <c r="U17" s="2">
        <v>12</v>
      </c>
      <c r="V17" s="2" t="s">
        <v>22</v>
      </c>
      <c r="W17" s="2" t="str">
        <f t="shared" si="0"/>
        <v>11-V</v>
      </c>
      <c r="X17" s="2" t="str">
        <f t="shared" si="1"/>
        <v>10-V</v>
      </c>
      <c r="Y17" s="2" t="str">
        <f t="shared" si="2"/>
        <v>16-V</v>
      </c>
      <c r="Z17" s="2" t="str">
        <f t="shared" si="3"/>
        <v>17-V</v>
      </c>
      <c r="AA17" s="2" t="str">
        <f t="shared" si="4"/>
        <v>23-J</v>
      </c>
      <c r="AB17" s="2" t="str">
        <f t="shared" si="5"/>
        <v>23-J</v>
      </c>
      <c r="AF17" s="2" t="s">
        <v>22</v>
      </c>
      <c r="AG17" s="12">
        <v>21</v>
      </c>
      <c r="AH17" s="12">
        <v>10</v>
      </c>
      <c r="AI17" s="12">
        <v>7</v>
      </c>
      <c r="AJ17" s="12">
        <f>AG17+AI17</f>
        <v>28</v>
      </c>
      <c r="AK17" s="12">
        <f t="shared" si="7"/>
        <v>2</v>
      </c>
      <c r="AL17" s="12" t="str">
        <f t="shared" si="8"/>
        <v>D</v>
      </c>
      <c r="AM17" s="12" t="str">
        <f t="shared" si="9"/>
        <v>2-D</v>
      </c>
      <c r="AN17" s="12" t="str">
        <f t="shared" si="10"/>
        <v>11-V</v>
      </c>
    </row>
    <row r="18" spans="1:40" x14ac:dyDescent="0.25">
      <c r="A18" s="2" t="s">
        <v>10</v>
      </c>
      <c r="B18" s="3" t="s">
        <v>15</v>
      </c>
      <c r="C18" s="3" t="s">
        <v>19</v>
      </c>
      <c r="D18" s="4" t="s">
        <v>29</v>
      </c>
      <c r="E18" s="4" t="s">
        <v>13</v>
      </c>
      <c r="F18" s="5" t="s">
        <v>5</v>
      </c>
      <c r="G18" s="5" t="s">
        <v>15</v>
      </c>
      <c r="H18" s="3" t="s">
        <v>17</v>
      </c>
      <c r="I18" s="12">
        <v>13</v>
      </c>
      <c r="J18" s="12">
        <v>14</v>
      </c>
      <c r="K18" t="s">
        <v>17</v>
      </c>
      <c r="L18" s="2"/>
      <c r="M18" s="7">
        <v>-3</v>
      </c>
      <c r="N18" s="7">
        <v>-3</v>
      </c>
      <c r="O18" s="7"/>
      <c r="P18" s="7"/>
      <c r="Q18" s="7"/>
      <c r="R18" s="7"/>
      <c r="S18" s="2"/>
      <c r="T18" s="1"/>
      <c r="U18" s="2">
        <v>13</v>
      </c>
      <c r="V18" s="2" t="s">
        <v>5</v>
      </c>
      <c r="W18" s="2" t="str">
        <f t="shared" si="0"/>
        <v>10-V</v>
      </c>
      <c r="X18" s="2" t="str">
        <f t="shared" si="1"/>
        <v>11-V</v>
      </c>
      <c r="Y18" s="2" t="str">
        <f t="shared" si="2"/>
        <v>17-V</v>
      </c>
      <c r="Z18" s="2" t="str">
        <f t="shared" si="3"/>
        <v>16-V</v>
      </c>
      <c r="AA18" s="2" t="str">
        <f t="shared" si="4"/>
        <v>26-G</v>
      </c>
      <c r="AB18" s="2" t="str">
        <f t="shared" si="5"/>
        <v>26-G</v>
      </c>
      <c r="AF18" s="2" t="s">
        <v>5</v>
      </c>
      <c r="AG18" s="12">
        <v>21</v>
      </c>
      <c r="AH18" s="12">
        <v>13</v>
      </c>
      <c r="AI18" s="12">
        <v>0</v>
      </c>
      <c r="AJ18" s="12">
        <f>AG18+AI18</f>
        <v>21</v>
      </c>
      <c r="AK18" s="12">
        <f t="shared" si="7"/>
        <v>21</v>
      </c>
      <c r="AL18" s="12" t="str">
        <f t="shared" si="8"/>
        <v>M</v>
      </c>
      <c r="AM18" s="12" t="str">
        <f t="shared" si="9"/>
        <v>21-M</v>
      </c>
      <c r="AN18" s="12" t="str">
        <f t="shared" si="10"/>
        <v>15-R</v>
      </c>
    </row>
    <row r="19" spans="1:40" x14ac:dyDescent="0.25">
      <c r="A19" s="2" t="s">
        <v>9</v>
      </c>
      <c r="B19" s="3" t="s">
        <v>16</v>
      </c>
      <c r="C19" s="3" t="s">
        <v>26</v>
      </c>
      <c r="D19" s="4" t="s">
        <v>4</v>
      </c>
      <c r="E19" s="4" t="s">
        <v>10</v>
      </c>
      <c r="F19" s="5" t="s">
        <v>6</v>
      </c>
      <c r="G19" s="5" t="s">
        <v>21</v>
      </c>
      <c r="H19" s="3" t="s">
        <v>10</v>
      </c>
      <c r="I19" s="12">
        <v>14</v>
      </c>
      <c r="J19" s="12">
        <v>13</v>
      </c>
      <c r="K19" t="s">
        <v>10</v>
      </c>
      <c r="L19" s="2"/>
      <c r="M19" s="7"/>
      <c r="N19" s="7"/>
      <c r="O19" s="7">
        <v>5</v>
      </c>
      <c r="P19" s="7">
        <v>5</v>
      </c>
      <c r="Q19" s="7"/>
      <c r="R19" s="7"/>
      <c r="S19" s="2"/>
      <c r="T19" s="1"/>
      <c r="U19" s="2">
        <v>14</v>
      </c>
      <c r="V19" s="2" t="s">
        <v>8</v>
      </c>
      <c r="W19" s="2" t="str">
        <f t="shared" si="0"/>
        <v>15-A</v>
      </c>
      <c r="X19" s="2" t="str">
        <f t="shared" si="1"/>
        <v>13-A</v>
      </c>
      <c r="Y19" s="2" t="str">
        <f t="shared" si="2"/>
        <v>12-A</v>
      </c>
      <c r="Z19" s="2" t="str">
        <f t="shared" si="3"/>
        <v>14-A</v>
      </c>
      <c r="AA19" s="2" t="str">
        <f t="shared" si="4"/>
        <v>7-Z</v>
      </c>
      <c r="AB19" s="2" t="str">
        <f t="shared" si="5"/>
        <v>7-Z</v>
      </c>
      <c r="AF19" s="2" t="s">
        <v>8</v>
      </c>
      <c r="AG19" s="12">
        <v>28</v>
      </c>
      <c r="AH19" s="12">
        <v>12</v>
      </c>
      <c r="AI19" s="12">
        <v>0</v>
      </c>
      <c r="AJ19" s="12">
        <f>AG19+AI19</f>
        <v>28</v>
      </c>
      <c r="AK19" s="12">
        <f t="shared" si="7"/>
        <v>2</v>
      </c>
      <c r="AL19" s="12" t="str">
        <f t="shared" si="8"/>
        <v>D</v>
      </c>
      <c r="AM19" s="12" t="str">
        <f t="shared" si="9"/>
        <v>2-D</v>
      </c>
      <c r="AN19" s="12" t="str">
        <f t="shared" si="10"/>
        <v>11-V</v>
      </c>
    </row>
    <row r="20" spans="1:40" x14ac:dyDescent="0.25">
      <c r="A20" s="2" t="s">
        <v>8</v>
      </c>
      <c r="B20" s="3" t="s">
        <v>17</v>
      </c>
      <c r="C20" s="3" t="s">
        <v>21</v>
      </c>
      <c r="D20" s="4" t="s">
        <v>5</v>
      </c>
      <c r="E20" s="4" t="s">
        <v>29</v>
      </c>
      <c r="F20" s="5" t="s">
        <v>7</v>
      </c>
      <c r="G20" s="5" t="s">
        <v>25</v>
      </c>
      <c r="H20" s="13" t="s">
        <v>17</v>
      </c>
      <c r="I20" s="12">
        <v>15</v>
      </c>
      <c r="J20" s="12">
        <v>12</v>
      </c>
      <c r="K20" t="s">
        <v>17</v>
      </c>
      <c r="L20" s="2"/>
      <c r="M20" s="7"/>
      <c r="N20" s="7"/>
      <c r="O20" s="7"/>
      <c r="P20" s="7"/>
      <c r="Q20" s="7">
        <v>-7</v>
      </c>
      <c r="R20" s="7">
        <v>-7</v>
      </c>
      <c r="S20" s="2"/>
      <c r="T20" s="1"/>
      <c r="U20" s="2">
        <v>15</v>
      </c>
      <c r="V20" s="2" t="s">
        <v>29</v>
      </c>
      <c r="W20" s="2" t="str">
        <f t="shared" si="0"/>
        <v>24-I</v>
      </c>
      <c r="X20" s="2" t="str">
        <f t="shared" si="1"/>
        <v>3-I</v>
      </c>
      <c r="Y20" s="2" t="str">
        <f t="shared" si="2"/>
        <v>3-I</v>
      </c>
      <c r="Z20" s="2" t="str">
        <f t="shared" si="3"/>
        <v>24-I</v>
      </c>
      <c r="AA20" s="2" t="str">
        <f t="shared" si="4"/>
        <v>4-C</v>
      </c>
      <c r="AB20" s="2" t="str">
        <f t="shared" si="5"/>
        <v>4-C</v>
      </c>
      <c r="AF20" s="2" t="s">
        <v>29</v>
      </c>
      <c r="AG20" s="12">
        <v>25</v>
      </c>
      <c r="AH20" s="12">
        <v>26</v>
      </c>
      <c r="AI20" s="12">
        <v>21</v>
      </c>
      <c r="AJ20" s="12">
        <f>AG20+AI20</f>
        <v>46</v>
      </c>
      <c r="AK20" s="12">
        <f t="shared" si="7"/>
        <v>20</v>
      </c>
      <c r="AL20" s="12" t="str">
        <f t="shared" si="8"/>
        <v>F</v>
      </c>
      <c r="AM20" s="12" t="str">
        <f t="shared" si="9"/>
        <v>20-F</v>
      </c>
      <c r="AN20" s="12" t="str">
        <f t="shared" si="10"/>
        <v>19-N</v>
      </c>
    </row>
    <row r="21" spans="1:40" x14ac:dyDescent="0.25">
      <c r="A21" s="2" t="s">
        <v>7</v>
      </c>
      <c r="B21" s="3" t="s">
        <v>18</v>
      </c>
      <c r="C21" s="3" t="s">
        <v>27</v>
      </c>
      <c r="D21" s="4" t="s">
        <v>6</v>
      </c>
      <c r="E21" s="4" t="s">
        <v>19</v>
      </c>
      <c r="F21" s="5" t="s">
        <v>8</v>
      </c>
      <c r="G21" s="5" t="s">
        <v>13</v>
      </c>
      <c r="H21" s="13" t="s">
        <v>18</v>
      </c>
      <c r="I21" s="12">
        <v>16</v>
      </c>
      <c r="J21" s="12">
        <v>11</v>
      </c>
      <c r="K21" t="s">
        <v>18</v>
      </c>
      <c r="L21" s="2"/>
      <c r="M21" s="7">
        <v>-3</v>
      </c>
      <c r="N21" s="7">
        <v>-3</v>
      </c>
      <c r="O21" s="7"/>
      <c r="P21" s="7"/>
      <c r="Q21" s="7"/>
      <c r="R21" s="7"/>
      <c r="S21" s="2"/>
      <c r="T21" s="1"/>
      <c r="U21" s="2">
        <v>16</v>
      </c>
      <c r="V21" s="2" t="s">
        <v>17</v>
      </c>
      <c r="W21" s="2" t="str">
        <f t="shared" si="0"/>
        <v>10-V</v>
      </c>
      <c r="X21" s="2" t="str">
        <f t="shared" si="1"/>
        <v>11-V</v>
      </c>
      <c r="Y21" s="2" t="str">
        <f t="shared" si="2"/>
        <v>17-V</v>
      </c>
      <c r="Z21" s="2" t="str">
        <f t="shared" si="3"/>
        <v>16-V</v>
      </c>
      <c r="AA21" s="2" t="str">
        <f t="shared" si="4"/>
        <v>12-U</v>
      </c>
      <c r="AB21" s="2" t="str">
        <f t="shared" si="5"/>
        <v>12-U</v>
      </c>
      <c r="AF21" s="2" t="s">
        <v>17</v>
      </c>
      <c r="AG21" s="12">
        <v>21</v>
      </c>
      <c r="AH21" s="12">
        <v>13</v>
      </c>
      <c r="AI21" s="12">
        <v>13</v>
      </c>
      <c r="AJ21" s="12">
        <f t="shared" si="6"/>
        <v>34</v>
      </c>
      <c r="AK21" s="12">
        <f t="shared" si="7"/>
        <v>8</v>
      </c>
      <c r="AL21" s="12" t="str">
        <f t="shared" si="8"/>
        <v>T</v>
      </c>
      <c r="AM21" s="12" t="str">
        <f t="shared" si="9"/>
        <v>8-T</v>
      </c>
      <c r="AN21" s="12" t="str">
        <f t="shared" si="10"/>
        <v>17-P</v>
      </c>
    </row>
    <row r="22" spans="1:40" x14ac:dyDescent="0.25">
      <c r="A22" s="2" t="s">
        <v>6</v>
      </c>
      <c r="B22" s="3" t="s">
        <v>19</v>
      </c>
      <c r="C22" s="3" t="s">
        <v>29</v>
      </c>
      <c r="D22" s="4" t="s">
        <v>7</v>
      </c>
      <c r="E22" s="4" t="s">
        <v>7</v>
      </c>
      <c r="F22" s="5" t="s">
        <v>9</v>
      </c>
      <c r="G22" s="5" t="s">
        <v>23</v>
      </c>
      <c r="H22" s="13" t="s">
        <v>19</v>
      </c>
      <c r="I22" s="12">
        <v>17</v>
      </c>
      <c r="J22" s="12">
        <v>10</v>
      </c>
      <c r="K22" t="s">
        <v>19</v>
      </c>
      <c r="L22" s="2"/>
      <c r="M22" s="7"/>
      <c r="N22" s="7"/>
      <c r="O22" s="7">
        <v>5</v>
      </c>
      <c r="P22" s="7">
        <v>5</v>
      </c>
      <c r="Q22" s="7"/>
      <c r="R22" s="7"/>
      <c r="S22" s="2"/>
      <c r="T22" s="1"/>
      <c r="U22" s="2">
        <v>17</v>
      </c>
      <c r="V22" s="2" t="s">
        <v>10</v>
      </c>
      <c r="W22" s="2" t="str">
        <f t="shared" si="0"/>
        <v>25-E</v>
      </c>
      <c r="X22" s="2" t="str">
        <f t="shared" si="1"/>
        <v>19-E</v>
      </c>
      <c r="Y22" s="2" t="str">
        <f t="shared" si="2"/>
        <v>2-E</v>
      </c>
      <c r="Z22" s="2" t="str">
        <f t="shared" si="3"/>
        <v>8-E</v>
      </c>
      <c r="AA22" s="2" t="str">
        <f t="shared" si="4"/>
        <v>12-U</v>
      </c>
      <c r="AB22" s="2" t="str">
        <f t="shared" si="5"/>
        <v>12-U</v>
      </c>
      <c r="AF22" s="2" t="s">
        <v>10</v>
      </c>
      <c r="AG22" s="12">
        <f>25+19</f>
        <v>44</v>
      </c>
      <c r="AH22" s="12">
        <v>10</v>
      </c>
      <c r="AI22" s="12">
        <v>8</v>
      </c>
      <c r="AJ22" s="12">
        <f t="shared" si="6"/>
        <v>52</v>
      </c>
      <c r="AK22" s="12">
        <f t="shared" si="7"/>
        <v>26</v>
      </c>
      <c r="AL22" s="12" t="str">
        <f t="shared" si="8"/>
        <v>B</v>
      </c>
      <c r="AM22" s="12" t="str">
        <f t="shared" si="9"/>
        <v>26-B</v>
      </c>
      <c r="AN22" s="12" t="str">
        <f t="shared" si="10"/>
        <v>15-R</v>
      </c>
    </row>
    <row r="23" spans="1:40" x14ac:dyDescent="0.25">
      <c r="A23" s="2" t="s">
        <v>5</v>
      </c>
      <c r="B23" s="3" t="s">
        <v>20</v>
      </c>
      <c r="C23" s="3" t="s">
        <v>22</v>
      </c>
      <c r="D23" s="4" t="s">
        <v>8</v>
      </c>
      <c r="E23" s="4" t="s">
        <v>23</v>
      </c>
      <c r="F23" s="5" t="s">
        <v>10</v>
      </c>
      <c r="G23" s="5" t="s">
        <v>17</v>
      </c>
      <c r="H23" s="13" t="s">
        <v>20</v>
      </c>
      <c r="I23" s="12">
        <v>18</v>
      </c>
      <c r="J23" s="12">
        <v>9</v>
      </c>
      <c r="K23" t="s">
        <v>20</v>
      </c>
      <c r="L23" s="2"/>
      <c r="M23" s="7"/>
      <c r="N23" s="7"/>
      <c r="O23" s="7"/>
      <c r="P23" s="7"/>
      <c r="Q23" s="7">
        <v>-7</v>
      </c>
      <c r="R23" s="7">
        <v>-7</v>
      </c>
      <c r="S23" s="2"/>
      <c r="T23" s="1"/>
      <c r="U23" s="2">
        <v>18</v>
      </c>
      <c r="V23" s="2" t="s">
        <v>25</v>
      </c>
      <c r="W23" s="2" t="str">
        <f t="shared" si="0"/>
        <v>16-B</v>
      </c>
      <c r="X23" s="2" t="str">
        <f t="shared" si="1"/>
        <v>26-B</v>
      </c>
      <c r="Y23" s="2" t="str">
        <f t="shared" si="2"/>
        <v>11-B</v>
      </c>
      <c r="Z23" s="2" t="str">
        <f t="shared" si="3"/>
        <v>1-B</v>
      </c>
      <c r="AA23" s="2" t="str">
        <f t="shared" si="4"/>
        <v>21-L</v>
      </c>
      <c r="AB23" s="2" t="str">
        <f t="shared" si="5"/>
        <v>21-L</v>
      </c>
      <c r="AF23" s="2" t="s">
        <v>25</v>
      </c>
      <c r="AG23" s="12">
        <f>16+26</f>
        <v>42</v>
      </c>
      <c r="AH23" s="12">
        <v>7</v>
      </c>
      <c r="AI23" s="12">
        <v>3</v>
      </c>
      <c r="AJ23" s="12">
        <f t="shared" si="6"/>
        <v>45</v>
      </c>
      <c r="AK23" s="12">
        <f t="shared" si="7"/>
        <v>19</v>
      </c>
      <c r="AL23" s="12" t="str">
        <f t="shared" si="8"/>
        <v>E</v>
      </c>
      <c r="AM23" s="12" t="str">
        <f t="shared" si="9"/>
        <v>19-E</v>
      </c>
      <c r="AN23" s="12" t="str">
        <f t="shared" si="10"/>
        <v>3-D</v>
      </c>
    </row>
    <row r="24" spans="1:40" x14ac:dyDescent="0.25">
      <c r="A24" s="2" t="s">
        <v>4</v>
      </c>
      <c r="B24" s="3" t="s">
        <v>21</v>
      </c>
      <c r="C24" s="3" t="s">
        <v>28</v>
      </c>
      <c r="D24" s="4" t="s">
        <v>9</v>
      </c>
      <c r="E24" s="4" t="s">
        <v>16</v>
      </c>
      <c r="F24" s="5" t="s">
        <v>11</v>
      </c>
      <c r="G24" s="5" t="s">
        <v>27</v>
      </c>
      <c r="H24" s="13" t="s">
        <v>21</v>
      </c>
      <c r="I24" s="12">
        <v>19</v>
      </c>
      <c r="J24" s="12">
        <v>8</v>
      </c>
      <c r="K24" t="s">
        <v>21</v>
      </c>
      <c r="L24" s="2"/>
      <c r="M24" s="7">
        <v>-3</v>
      </c>
      <c r="N24" s="7">
        <v>-3</v>
      </c>
      <c r="O24" s="7"/>
      <c r="P24" s="7"/>
      <c r="Q24" s="7"/>
      <c r="R24" s="7"/>
      <c r="S24" s="2"/>
      <c r="T24" s="1"/>
      <c r="U24" s="2">
        <v>19</v>
      </c>
      <c r="V24" s="2" t="s">
        <v>19</v>
      </c>
      <c r="W24" s="2" t="str">
        <f t="shared" si="0"/>
        <v>18-D</v>
      </c>
      <c r="X24" s="2" t="str">
        <f t="shared" si="1"/>
        <v>2-D</v>
      </c>
      <c r="Y24" s="2" t="str">
        <f t="shared" si="2"/>
        <v>9-D</v>
      </c>
      <c r="Z24" s="2" t="str">
        <f t="shared" si="3"/>
        <v>25-D</v>
      </c>
      <c r="AA24" s="2" t="str">
        <f t="shared" si="4"/>
        <v>9-X</v>
      </c>
      <c r="AB24" s="2" t="str">
        <f t="shared" si="5"/>
        <v>9-X</v>
      </c>
      <c r="AF24" s="2" t="s">
        <v>19</v>
      </c>
      <c r="AG24" s="12">
        <v>20</v>
      </c>
      <c r="AH24" s="12">
        <v>22</v>
      </c>
      <c r="AI24" s="12">
        <v>9</v>
      </c>
      <c r="AJ24" s="12">
        <f t="shared" si="6"/>
        <v>29</v>
      </c>
      <c r="AK24" s="12">
        <f t="shared" si="7"/>
        <v>3</v>
      </c>
      <c r="AL24" s="12" t="str">
        <f t="shared" si="8"/>
        <v>I</v>
      </c>
      <c r="AM24" s="12" t="str">
        <f t="shared" si="9"/>
        <v>3-I</v>
      </c>
      <c r="AN24" s="12" t="str">
        <f t="shared" si="10"/>
        <v>21-L</v>
      </c>
    </row>
    <row r="25" spans="1:40" x14ac:dyDescent="0.25">
      <c r="A25" s="2" t="s">
        <v>29</v>
      </c>
      <c r="B25" s="3" t="s">
        <v>22</v>
      </c>
      <c r="C25" s="3" t="s">
        <v>23</v>
      </c>
      <c r="D25" s="4" t="s">
        <v>10</v>
      </c>
      <c r="E25" s="4" t="s">
        <v>4</v>
      </c>
      <c r="F25" s="5" t="s">
        <v>12</v>
      </c>
      <c r="G25" s="5" t="s">
        <v>29</v>
      </c>
      <c r="H25" s="13" t="s">
        <v>22</v>
      </c>
      <c r="I25" s="12">
        <v>20</v>
      </c>
      <c r="J25" s="12">
        <v>7</v>
      </c>
      <c r="K25" t="s">
        <v>22</v>
      </c>
      <c r="L25" s="2"/>
      <c r="M25" s="7"/>
      <c r="N25" s="7"/>
      <c r="O25" s="7">
        <v>5</v>
      </c>
      <c r="P25" s="7">
        <v>5</v>
      </c>
      <c r="Q25" s="7"/>
      <c r="R25" s="7"/>
      <c r="S25" s="2"/>
      <c r="T25" s="1"/>
      <c r="U25" s="2">
        <v>20</v>
      </c>
      <c r="V25" s="2" t="s">
        <v>17</v>
      </c>
      <c r="W25" s="2" t="str">
        <f t="shared" si="0"/>
        <v>23-M</v>
      </c>
      <c r="X25" s="2" t="str">
        <f t="shared" si="1"/>
        <v>21-M</v>
      </c>
      <c r="Y25" s="2" t="str">
        <f t="shared" si="2"/>
        <v>4-M</v>
      </c>
      <c r="Z25" s="2" t="str">
        <f t="shared" si="3"/>
        <v>6-M</v>
      </c>
      <c r="AA25" s="2" t="str">
        <f t="shared" si="4"/>
        <v>8-Y</v>
      </c>
      <c r="AB25" s="2" t="str">
        <f t="shared" si="5"/>
        <v>8-Y</v>
      </c>
      <c r="AF25" s="2" t="s">
        <v>17</v>
      </c>
      <c r="AG25" s="12">
        <v>44</v>
      </c>
      <c r="AH25" s="12">
        <v>12</v>
      </c>
      <c r="AI25" s="12">
        <v>13</v>
      </c>
      <c r="AJ25" s="12">
        <f t="shared" si="6"/>
        <v>57</v>
      </c>
      <c r="AK25" s="12">
        <f>AJ25-52</f>
        <v>5</v>
      </c>
      <c r="AL25" s="12" t="str">
        <f t="shared" si="8"/>
        <v>K</v>
      </c>
      <c r="AM25" s="12" t="str">
        <f t="shared" si="9"/>
        <v>5-K</v>
      </c>
      <c r="AN25" s="12" t="str">
        <f t="shared" si="10"/>
        <v>13-T</v>
      </c>
    </row>
    <row r="26" spans="1:40" x14ac:dyDescent="0.25">
      <c r="A26" s="2" t="s">
        <v>28</v>
      </c>
      <c r="B26" s="3" t="s">
        <v>23</v>
      </c>
      <c r="C26" s="3" t="s">
        <v>20</v>
      </c>
      <c r="D26" s="4" t="s">
        <v>11</v>
      </c>
      <c r="E26" s="4" t="s">
        <v>6</v>
      </c>
      <c r="F26" s="5" t="s">
        <v>13</v>
      </c>
      <c r="G26" s="5" t="s">
        <v>11</v>
      </c>
      <c r="H26" s="14" t="s">
        <v>29</v>
      </c>
      <c r="I26" s="12">
        <v>21</v>
      </c>
      <c r="J26" s="12">
        <v>6</v>
      </c>
      <c r="K26" t="s">
        <v>29</v>
      </c>
      <c r="L26" s="2"/>
      <c r="M26" s="7"/>
      <c r="N26" s="7"/>
      <c r="O26" s="7"/>
      <c r="P26" s="7"/>
      <c r="Q26" s="7"/>
      <c r="R26" s="7"/>
      <c r="S26" s="2"/>
      <c r="T26" s="1"/>
      <c r="U26" s="2">
        <v>21</v>
      </c>
      <c r="V26" s="2"/>
      <c r="W26" s="2"/>
      <c r="X26" s="2"/>
      <c r="Y26" s="2"/>
      <c r="Z26" s="2"/>
      <c r="AA26" s="2"/>
      <c r="AB26" s="2"/>
      <c r="AF26" s="2"/>
      <c r="AG26" s="12"/>
      <c r="AH26" s="12"/>
      <c r="AI26" s="12"/>
      <c r="AJ26" s="12"/>
      <c r="AK26" s="12"/>
      <c r="AL26" s="12"/>
      <c r="AM26" s="12"/>
      <c r="AN26" s="12"/>
    </row>
    <row r="27" spans="1:40" x14ac:dyDescent="0.25">
      <c r="A27" s="2" t="s">
        <v>27</v>
      </c>
      <c r="B27" s="3" t="s">
        <v>24</v>
      </c>
      <c r="C27" s="3" t="s">
        <v>7</v>
      </c>
      <c r="D27" s="4" t="s">
        <v>12</v>
      </c>
      <c r="E27" s="4" t="s">
        <v>15</v>
      </c>
      <c r="F27" s="5" t="s">
        <v>14</v>
      </c>
      <c r="G27" s="5" t="s">
        <v>9</v>
      </c>
      <c r="H27" s="14" t="s">
        <v>27</v>
      </c>
      <c r="I27" s="12">
        <v>22</v>
      </c>
      <c r="J27" s="12">
        <v>5</v>
      </c>
      <c r="K27" t="s">
        <v>27</v>
      </c>
      <c r="L27" s="2"/>
      <c r="M27" s="2"/>
      <c r="N27" s="2"/>
      <c r="O27" s="2"/>
      <c r="P27" s="2"/>
      <c r="Q27" s="2"/>
      <c r="R27" s="2"/>
      <c r="S27" s="2"/>
      <c r="T27" s="1"/>
      <c r="U27" s="2">
        <v>22</v>
      </c>
      <c r="V27" s="2"/>
      <c r="W27" s="2"/>
      <c r="X27" s="2"/>
      <c r="Y27" s="2"/>
      <c r="Z27" s="2"/>
      <c r="AA27" s="2"/>
      <c r="AB27" s="2"/>
      <c r="AF27" s="2"/>
      <c r="AG27" s="12"/>
      <c r="AH27" s="12"/>
      <c r="AI27" s="12"/>
      <c r="AJ27" s="12"/>
      <c r="AK27" s="12"/>
      <c r="AL27" s="12"/>
      <c r="AM27" s="12"/>
      <c r="AN27" s="12"/>
    </row>
    <row r="28" spans="1:40" x14ac:dyDescent="0.25">
      <c r="A28" s="2" t="s">
        <v>26</v>
      </c>
      <c r="B28" s="3" t="s">
        <v>25</v>
      </c>
      <c r="C28" s="3" t="s">
        <v>12</v>
      </c>
      <c r="D28" s="4" t="s">
        <v>13</v>
      </c>
      <c r="E28" s="4" t="s">
        <v>22</v>
      </c>
      <c r="F28" s="5" t="s">
        <v>15</v>
      </c>
      <c r="G28" s="5" t="s">
        <v>7</v>
      </c>
      <c r="H28" s="14" t="s">
        <v>29</v>
      </c>
      <c r="I28" s="12">
        <v>23</v>
      </c>
      <c r="J28" s="12">
        <v>4</v>
      </c>
      <c r="K28" t="s">
        <v>29</v>
      </c>
      <c r="L28" s="2"/>
      <c r="M28" s="2"/>
      <c r="N28" s="2"/>
      <c r="O28" s="2"/>
      <c r="P28" s="2"/>
      <c r="Q28" s="2"/>
      <c r="R28" s="2"/>
      <c r="S28" s="2"/>
      <c r="T28" s="1"/>
      <c r="U28" s="2">
        <v>23</v>
      </c>
      <c r="V28" s="2"/>
      <c r="W28" s="2"/>
      <c r="X28" s="2"/>
      <c r="Y28" s="2"/>
      <c r="Z28" s="2"/>
      <c r="AA28" s="2"/>
      <c r="AB28" s="2"/>
      <c r="AF28" s="2"/>
      <c r="AG28" s="12"/>
      <c r="AH28" s="12"/>
      <c r="AI28" s="12"/>
      <c r="AJ28" s="12"/>
      <c r="AK28" s="12"/>
      <c r="AL28" s="12"/>
      <c r="AM28" s="12"/>
      <c r="AN28" s="12"/>
    </row>
    <row r="29" spans="1:40" x14ac:dyDescent="0.25">
      <c r="A29" s="2" t="s">
        <v>25</v>
      </c>
      <c r="B29" s="3" t="s">
        <v>26</v>
      </c>
      <c r="C29" s="3" t="s">
        <v>16</v>
      </c>
      <c r="D29" s="4" t="s">
        <v>14</v>
      </c>
      <c r="E29" s="4" t="s">
        <v>12</v>
      </c>
      <c r="F29" s="5" t="s">
        <v>16</v>
      </c>
      <c r="G29" s="5" t="s">
        <v>5</v>
      </c>
      <c r="H29" s="14" t="s">
        <v>25</v>
      </c>
      <c r="I29" s="12">
        <v>24</v>
      </c>
      <c r="J29" s="12">
        <v>3</v>
      </c>
      <c r="K29" t="s">
        <v>25</v>
      </c>
      <c r="L29" s="2"/>
      <c r="M29" s="2"/>
      <c r="N29" s="2"/>
      <c r="O29" s="2"/>
      <c r="P29" s="2"/>
      <c r="Q29" s="2"/>
      <c r="R29" s="2"/>
      <c r="S29" s="2"/>
      <c r="T29" s="1"/>
      <c r="U29" s="2">
        <v>24</v>
      </c>
      <c r="V29" s="2"/>
      <c r="W29" s="2"/>
      <c r="X29" s="2"/>
      <c r="Y29" s="2"/>
      <c r="Z29" s="2"/>
      <c r="AA29" s="2"/>
      <c r="AB29" s="2"/>
      <c r="AF29" s="2"/>
      <c r="AG29" s="12"/>
      <c r="AH29" s="12"/>
      <c r="AI29" s="12"/>
      <c r="AJ29" s="12"/>
      <c r="AK29" s="12"/>
      <c r="AL29" s="12"/>
      <c r="AM29" s="12"/>
      <c r="AN29" s="12"/>
    </row>
    <row r="30" spans="1:40" x14ac:dyDescent="0.25">
      <c r="A30" s="2" t="s">
        <v>24</v>
      </c>
      <c r="B30" s="3" t="s">
        <v>27</v>
      </c>
      <c r="C30" s="3" t="s">
        <v>4</v>
      </c>
      <c r="D30" s="4" t="s">
        <v>15</v>
      </c>
      <c r="E30" s="4" t="s">
        <v>5</v>
      </c>
      <c r="F30" s="5" t="s">
        <v>17</v>
      </c>
      <c r="G30" s="5" t="s">
        <v>18</v>
      </c>
      <c r="H30" s="14" t="s">
        <v>21</v>
      </c>
      <c r="I30" s="12">
        <v>25</v>
      </c>
      <c r="J30" s="12">
        <v>2</v>
      </c>
      <c r="K30" t="s">
        <v>21</v>
      </c>
      <c r="L30" s="2"/>
      <c r="M30" s="2"/>
      <c r="N30" s="2"/>
      <c r="O30" s="2"/>
      <c r="P30" s="2"/>
      <c r="Q30" s="2"/>
      <c r="R30" s="2"/>
      <c r="S30" s="2"/>
      <c r="T30" s="1"/>
      <c r="U30" s="2">
        <v>25</v>
      </c>
      <c r="V30" s="2"/>
      <c r="W30" s="2"/>
      <c r="X30" s="2"/>
      <c r="Y30" s="2"/>
      <c r="Z30" s="2"/>
      <c r="AA30" s="2"/>
      <c r="AB30" s="2"/>
      <c r="AF30" s="2"/>
      <c r="AG30" s="12"/>
      <c r="AH30" s="12"/>
      <c r="AI30" s="12"/>
      <c r="AJ30" s="12"/>
      <c r="AK30" s="12"/>
      <c r="AL30" s="12"/>
      <c r="AM30" s="12"/>
      <c r="AN30" s="12"/>
    </row>
    <row r="31" spans="1:40" x14ac:dyDescent="0.25">
      <c r="A31" s="2" t="s">
        <v>23</v>
      </c>
      <c r="B31" s="3" t="s">
        <v>28</v>
      </c>
      <c r="C31" s="3" t="s">
        <v>10</v>
      </c>
      <c r="D31" s="4" t="s">
        <v>16</v>
      </c>
      <c r="E31" s="4" t="s">
        <v>21</v>
      </c>
      <c r="F31" s="5" t="s">
        <v>18</v>
      </c>
      <c r="G31" s="5" t="s">
        <v>20</v>
      </c>
      <c r="H31" s="14" t="s">
        <v>18</v>
      </c>
      <c r="I31" s="12">
        <v>26</v>
      </c>
      <c r="J31" s="12">
        <v>1</v>
      </c>
      <c r="K31" t="s">
        <v>18</v>
      </c>
      <c r="L31" s="2"/>
      <c r="M31" s="2"/>
      <c r="N31" s="2"/>
      <c r="O31" s="2"/>
      <c r="P31" s="2"/>
      <c r="Q31" s="2"/>
      <c r="R31" s="2"/>
      <c r="S31" s="2"/>
      <c r="T31" s="1"/>
      <c r="U31" s="2">
        <v>26</v>
      </c>
      <c r="V31" s="2"/>
      <c r="W31" s="2"/>
      <c r="X31" s="2"/>
      <c r="Y31" s="2"/>
      <c r="Z31" s="2"/>
      <c r="AA31" s="2"/>
      <c r="AB31" s="2"/>
      <c r="AF31" s="2"/>
      <c r="AG31" s="12"/>
      <c r="AH31" s="12"/>
      <c r="AI31" s="12"/>
      <c r="AJ31" s="12"/>
      <c r="AK31" s="12"/>
      <c r="AL31" s="12"/>
      <c r="AM31" s="12"/>
      <c r="AN31" s="12"/>
    </row>
    <row r="32" spans="1:40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</row>
    <row r="35" spans="8:22" x14ac:dyDescent="0.25">
      <c r="I35">
        <v>3241</v>
      </c>
    </row>
    <row r="37" spans="8:22" x14ac:dyDescent="0.25">
      <c r="H37" s="13" t="s">
        <v>17</v>
      </c>
      <c r="N37" s="14" t="s">
        <v>29</v>
      </c>
      <c r="V37" s="8" t="s">
        <v>23</v>
      </c>
    </row>
    <row r="38" spans="8:22" x14ac:dyDescent="0.25">
      <c r="H38" s="13" t="s">
        <v>18</v>
      </c>
      <c r="N38" s="14" t="s">
        <v>27</v>
      </c>
      <c r="V38" s="8" t="s">
        <v>20</v>
      </c>
    </row>
    <row r="39" spans="8:22" x14ac:dyDescent="0.25">
      <c r="H39" s="13" t="s">
        <v>19</v>
      </c>
      <c r="N39" s="14" t="s">
        <v>29</v>
      </c>
      <c r="V39" s="8" t="s">
        <v>25</v>
      </c>
    </row>
    <row r="40" spans="8:22" x14ac:dyDescent="0.25">
      <c r="H40" s="13" t="s">
        <v>20</v>
      </c>
      <c r="I40">
        <v>1</v>
      </c>
      <c r="L40">
        <v>3</v>
      </c>
      <c r="N40" s="14" t="s">
        <v>25</v>
      </c>
      <c r="S40" t="s">
        <v>67</v>
      </c>
      <c r="U40">
        <v>2</v>
      </c>
      <c r="V40" s="8" t="s">
        <v>26</v>
      </c>
    </row>
    <row r="41" spans="8:22" x14ac:dyDescent="0.25">
      <c r="H41" s="13" t="s">
        <v>21</v>
      </c>
      <c r="N41" s="14" t="s">
        <v>21</v>
      </c>
      <c r="V41" s="8" t="s">
        <v>27</v>
      </c>
    </row>
    <row r="42" spans="8:22" x14ac:dyDescent="0.25">
      <c r="H42" s="13" t="s">
        <v>22</v>
      </c>
      <c r="N42" s="14" t="s">
        <v>18</v>
      </c>
      <c r="V42" s="8" t="s">
        <v>23</v>
      </c>
    </row>
    <row r="43" spans="8:22" x14ac:dyDescent="0.25">
      <c r="H43" s="8" t="s">
        <v>23</v>
      </c>
      <c r="N43" s="8" t="s">
        <v>23</v>
      </c>
      <c r="V43" s="3" t="s">
        <v>22</v>
      </c>
    </row>
    <row r="44" spans="8:22" x14ac:dyDescent="0.25">
      <c r="H44" s="8" t="s">
        <v>20</v>
      </c>
      <c r="N44" s="8" t="s">
        <v>20</v>
      </c>
      <c r="V44" s="3" t="s">
        <v>10</v>
      </c>
    </row>
    <row r="45" spans="8:22" x14ac:dyDescent="0.25">
      <c r="H45" s="8" t="s">
        <v>25</v>
      </c>
      <c r="N45" s="8" t="s">
        <v>25</v>
      </c>
      <c r="U45">
        <v>4</v>
      </c>
      <c r="V45" s="3" t="s">
        <v>19</v>
      </c>
    </row>
    <row r="46" spans="8:22" x14ac:dyDescent="0.25">
      <c r="H46" s="8" t="s">
        <v>26</v>
      </c>
      <c r="I46">
        <v>2</v>
      </c>
      <c r="L46">
        <v>2</v>
      </c>
      <c r="N46" s="8" t="s">
        <v>26</v>
      </c>
      <c r="V46" s="3" t="s">
        <v>12</v>
      </c>
    </row>
    <row r="47" spans="8:22" x14ac:dyDescent="0.25">
      <c r="H47" s="8" t="s">
        <v>27</v>
      </c>
      <c r="N47" s="8" t="s">
        <v>27</v>
      </c>
      <c r="V47" s="3" t="s">
        <v>12</v>
      </c>
    </row>
    <row r="48" spans="8:22" x14ac:dyDescent="0.25">
      <c r="H48" s="8" t="s">
        <v>23</v>
      </c>
      <c r="N48" s="8" t="s">
        <v>23</v>
      </c>
      <c r="V48" s="3" t="s">
        <v>26</v>
      </c>
    </row>
    <row r="49" spans="8:22" x14ac:dyDescent="0.25">
      <c r="H49" s="14" t="s">
        <v>29</v>
      </c>
      <c r="N49" s="3" t="s">
        <v>22</v>
      </c>
      <c r="V49" s="3" t="s">
        <v>17</v>
      </c>
    </row>
    <row r="50" spans="8:22" x14ac:dyDescent="0.25">
      <c r="H50" s="14" t="s">
        <v>27</v>
      </c>
      <c r="N50" s="3" t="s">
        <v>10</v>
      </c>
      <c r="V50" s="3" t="s">
        <v>10</v>
      </c>
    </row>
    <row r="51" spans="8:22" x14ac:dyDescent="0.25">
      <c r="H51" s="14" t="s">
        <v>29</v>
      </c>
      <c r="I51">
        <v>3</v>
      </c>
      <c r="L51">
        <v>4</v>
      </c>
      <c r="N51" s="3" t="s">
        <v>19</v>
      </c>
      <c r="V51" s="13" t="s">
        <v>17</v>
      </c>
    </row>
    <row r="52" spans="8:22" x14ac:dyDescent="0.25">
      <c r="H52" s="14" t="s">
        <v>25</v>
      </c>
      <c r="N52" s="3" t="s">
        <v>12</v>
      </c>
      <c r="U52">
        <v>1</v>
      </c>
      <c r="V52" s="13" t="s">
        <v>18</v>
      </c>
    </row>
    <row r="53" spans="8:22" x14ac:dyDescent="0.25">
      <c r="H53" s="14" t="s">
        <v>21</v>
      </c>
      <c r="N53" s="3" t="s">
        <v>12</v>
      </c>
      <c r="V53" s="13" t="s">
        <v>19</v>
      </c>
    </row>
    <row r="54" spans="8:22" x14ac:dyDescent="0.25">
      <c r="H54" s="14" t="s">
        <v>18</v>
      </c>
      <c r="N54" s="3" t="s">
        <v>26</v>
      </c>
      <c r="V54" s="13" t="s">
        <v>20</v>
      </c>
    </row>
    <row r="55" spans="8:22" x14ac:dyDescent="0.25">
      <c r="H55" s="3" t="s">
        <v>22</v>
      </c>
      <c r="N55" s="3" t="s">
        <v>17</v>
      </c>
      <c r="V55" s="13" t="s">
        <v>21</v>
      </c>
    </row>
    <row r="56" spans="8:22" x14ac:dyDescent="0.25">
      <c r="H56" s="3" t="s">
        <v>10</v>
      </c>
      <c r="N56" s="3" t="s">
        <v>10</v>
      </c>
      <c r="V56" s="13" t="s">
        <v>22</v>
      </c>
    </row>
    <row r="57" spans="8:22" x14ac:dyDescent="0.25">
      <c r="H57" s="3" t="s">
        <v>19</v>
      </c>
      <c r="N57" s="13" t="s">
        <v>17</v>
      </c>
      <c r="V57" s="14" t="s">
        <v>29</v>
      </c>
    </row>
    <row r="58" spans="8:22" x14ac:dyDescent="0.25">
      <c r="H58" s="3" t="s">
        <v>12</v>
      </c>
      <c r="N58" s="13" t="s">
        <v>18</v>
      </c>
      <c r="V58" s="14" t="s">
        <v>27</v>
      </c>
    </row>
    <row r="59" spans="8:22" x14ac:dyDescent="0.25">
      <c r="H59" s="3" t="s">
        <v>12</v>
      </c>
      <c r="I59">
        <v>4</v>
      </c>
      <c r="L59">
        <v>1</v>
      </c>
      <c r="N59" s="13" t="s">
        <v>19</v>
      </c>
      <c r="V59" s="14" t="s">
        <v>29</v>
      </c>
    </row>
    <row r="60" spans="8:22" x14ac:dyDescent="0.25">
      <c r="H60" s="3" t="s">
        <v>26</v>
      </c>
      <c r="N60" s="13" t="s">
        <v>20</v>
      </c>
      <c r="U60">
        <v>3</v>
      </c>
      <c r="V60" s="14" t="s">
        <v>25</v>
      </c>
    </row>
    <row r="61" spans="8:22" x14ac:dyDescent="0.25">
      <c r="H61" s="3" t="s">
        <v>17</v>
      </c>
      <c r="N61" s="13" t="s">
        <v>21</v>
      </c>
      <c r="V61" s="14" t="s">
        <v>21</v>
      </c>
    </row>
    <row r="62" spans="8:22" x14ac:dyDescent="0.25">
      <c r="H62" s="3" t="s">
        <v>10</v>
      </c>
      <c r="N62" s="13" t="s">
        <v>22</v>
      </c>
      <c r="V62" s="14" t="s">
        <v>18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mdDespejar">
          <controlPr defaultSize="0" autoLine="0" autoPict="0" r:id="rId4">
            <anchor moveWithCells="1">
              <from>
                <xdr:col>8</xdr:col>
                <xdr:colOff>19050</xdr:colOff>
                <xdr:row>0</xdr:row>
                <xdr:rowOff>66675</xdr:rowOff>
              </from>
              <to>
                <xdr:col>10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9219" r:id="rId3" name="cmdDespejar"/>
      </mc:Fallback>
    </mc:AlternateContent>
    <mc:AlternateContent xmlns:mc="http://schemas.openxmlformats.org/markup-compatibility/2006">
      <mc:Choice Requires="x14">
        <control shapeId="9218" r:id="rId5" name="cmdRellenarDescendentemente">
          <controlPr defaultSize="0" autoLine="0" autoPict="0" r:id="rId6">
            <anchor moveWithCells="1">
              <from>
                <xdr:col>12</xdr:col>
                <xdr:colOff>314325</xdr:colOff>
                <xdr:row>0</xdr:row>
                <xdr:rowOff>66675</xdr:rowOff>
              </from>
              <to>
                <xdr:col>16</xdr:col>
                <xdr:colOff>114300</xdr:colOff>
                <xdr:row>2</xdr:row>
                <xdr:rowOff>9525</xdr:rowOff>
              </to>
            </anchor>
          </controlPr>
        </control>
      </mc:Choice>
      <mc:Fallback>
        <control shapeId="9218" r:id="rId5" name="cmdRellenarDescendentemente"/>
      </mc:Fallback>
    </mc:AlternateContent>
    <mc:AlternateContent xmlns:mc="http://schemas.openxmlformats.org/markup-compatibility/2006">
      <mc:Choice Requires="x14">
        <control shapeId="9217" r:id="rId7" name="cmdRellenarAscendentemente">
          <controlPr defaultSize="0" autoLine="0" autoPict="0" r:id="rId8">
            <anchor moveWithCells="1">
              <from>
                <xdr:col>10</xdr:col>
                <xdr:colOff>190500</xdr:colOff>
                <xdr:row>0</xdr:row>
                <xdr:rowOff>66675</xdr:rowOff>
              </from>
              <to>
                <xdr:col>12</xdr:col>
                <xdr:colOff>238125</xdr:colOff>
                <xdr:row>2</xdr:row>
                <xdr:rowOff>9525</xdr:rowOff>
              </to>
            </anchor>
          </controlPr>
        </control>
      </mc:Choice>
      <mc:Fallback>
        <control shapeId="9217" r:id="rId7" name="cmdRellenarAscendentemen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Q36"/>
  <sheetViews>
    <sheetView tabSelected="1" topLeftCell="A12" zoomScale="130" zoomScaleNormal="130" workbookViewId="0">
      <selection activeCell="C36" sqref="C36"/>
    </sheetView>
  </sheetViews>
  <sheetFormatPr baseColWidth="10" defaultRowHeight="15" x14ac:dyDescent="0.25"/>
  <sheetData>
    <row r="5" spans="3:17" x14ac:dyDescent="0.25">
      <c r="C5" t="s">
        <v>74</v>
      </c>
    </row>
    <row r="6" spans="3:17" x14ac:dyDescent="0.25">
      <c r="C6" t="s">
        <v>75</v>
      </c>
    </row>
    <row r="7" spans="3:17" x14ac:dyDescent="0.25">
      <c r="C7" t="s">
        <v>76</v>
      </c>
    </row>
    <row r="8" spans="3:17" x14ac:dyDescent="0.25">
      <c r="C8" t="s">
        <v>77</v>
      </c>
      <c r="D8" t="s">
        <v>78</v>
      </c>
    </row>
    <row r="9" spans="3:17" x14ac:dyDescent="0.25">
      <c r="C9" t="s">
        <v>79</v>
      </c>
    </row>
    <row r="10" spans="3:17" x14ac:dyDescent="0.25">
      <c r="C10" t="s">
        <v>80</v>
      </c>
      <c r="M10" t="s">
        <v>68</v>
      </c>
      <c r="O10" t="s">
        <v>69</v>
      </c>
    </row>
    <row r="11" spans="3:17" x14ac:dyDescent="0.25">
      <c r="M11" t="s">
        <v>70</v>
      </c>
      <c r="O11" t="s">
        <v>71</v>
      </c>
      <c r="P11" t="s">
        <v>69</v>
      </c>
      <c r="Q11" t="s">
        <v>73</v>
      </c>
    </row>
    <row r="12" spans="3:17" x14ac:dyDescent="0.25">
      <c r="M12" t="s">
        <v>72</v>
      </c>
      <c r="O12" t="s">
        <v>73</v>
      </c>
    </row>
    <row r="14" spans="3:17" x14ac:dyDescent="0.25">
      <c r="C14" t="s">
        <v>85</v>
      </c>
    </row>
    <row r="15" spans="3:17" x14ac:dyDescent="0.25">
      <c r="C15" t="s">
        <v>82</v>
      </c>
      <c r="E15" t="s">
        <v>81</v>
      </c>
    </row>
    <row r="16" spans="3:17" x14ac:dyDescent="0.25">
      <c r="C16" t="s">
        <v>84</v>
      </c>
    </row>
    <row r="17" spans="3:7" x14ac:dyDescent="0.25">
      <c r="C17" t="s">
        <v>83</v>
      </c>
      <c r="E17" t="s">
        <v>86</v>
      </c>
    </row>
    <row r="18" spans="3:7" x14ac:dyDescent="0.25">
      <c r="C18" t="s">
        <v>87</v>
      </c>
      <c r="E18" t="s">
        <v>88</v>
      </c>
    </row>
    <row r="19" spans="3:7" x14ac:dyDescent="0.25">
      <c r="C19" t="s">
        <v>89</v>
      </c>
      <c r="E19" t="s">
        <v>90</v>
      </c>
    </row>
    <row r="20" spans="3:7" x14ac:dyDescent="0.25">
      <c r="C20" t="s">
        <v>93</v>
      </c>
    </row>
    <row r="21" spans="3:7" x14ac:dyDescent="0.25">
      <c r="C21" t="s">
        <v>92</v>
      </c>
      <c r="G21" t="s">
        <v>91</v>
      </c>
    </row>
    <row r="25" spans="3:7" x14ac:dyDescent="0.25">
      <c r="C25" t="s">
        <v>94</v>
      </c>
    </row>
    <row r="26" spans="3:7" x14ac:dyDescent="0.25">
      <c r="C26" t="s">
        <v>95</v>
      </c>
    </row>
    <row r="27" spans="3:7" x14ac:dyDescent="0.25">
      <c r="C27" t="s">
        <v>96</v>
      </c>
    </row>
    <row r="28" spans="3:7" x14ac:dyDescent="0.25">
      <c r="C28" t="s">
        <v>97</v>
      </c>
    </row>
    <row r="29" spans="3:7" x14ac:dyDescent="0.25">
      <c r="C29" t="s">
        <v>98</v>
      </c>
    </row>
    <row r="30" spans="3:7" x14ac:dyDescent="0.25">
      <c r="C30" t="s">
        <v>99</v>
      </c>
    </row>
    <row r="31" spans="3:7" x14ac:dyDescent="0.25">
      <c r="C31" t="s">
        <v>100</v>
      </c>
    </row>
    <row r="32" spans="3:7" x14ac:dyDescent="0.25">
      <c r="C32" t="s">
        <v>101</v>
      </c>
    </row>
    <row r="33" spans="3:3" x14ac:dyDescent="0.25">
      <c r="C33" t="s">
        <v>102</v>
      </c>
    </row>
    <row r="36" spans="3:3" x14ac:dyDescent="0.25">
      <c r="C36" t="s"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D16"/>
  <sheetViews>
    <sheetView workbookViewId="0">
      <selection activeCell="B15" sqref="B15"/>
    </sheetView>
  </sheetViews>
  <sheetFormatPr baseColWidth="10" defaultRowHeight="15" x14ac:dyDescent="0.25"/>
  <sheetData>
    <row r="4" spans="2:4" x14ac:dyDescent="0.25">
      <c r="B4" t="s">
        <v>55</v>
      </c>
    </row>
    <row r="13" spans="2:4" x14ac:dyDescent="0.25">
      <c r="B13" t="s">
        <v>51</v>
      </c>
      <c r="D13" t="s">
        <v>56</v>
      </c>
    </row>
    <row r="14" spans="2:4" x14ac:dyDescent="0.25">
      <c r="B14" t="s">
        <v>52</v>
      </c>
      <c r="D14" t="s">
        <v>57</v>
      </c>
    </row>
    <row r="15" spans="2:4" x14ac:dyDescent="0.25">
      <c r="B15" t="s">
        <v>53</v>
      </c>
      <c r="D15" t="s">
        <v>58</v>
      </c>
    </row>
    <row r="16" spans="2:4" x14ac:dyDescent="0.25">
      <c r="B16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BASE1</vt:lpstr>
      <vt:lpstr>BASE2</vt:lpstr>
      <vt:lpstr>EJERCICIO 1</vt:lpstr>
      <vt:lpstr>Hoja4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Usuario de Logon Laboratorio Petit Thouars 385</cp:lastModifiedBy>
  <dcterms:created xsi:type="dcterms:W3CDTF">2019-05-10T02:31:52Z</dcterms:created>
  <dcterms:modified xsi:type="dcterms:W3CDTF">2019-05-18T02:23:40Z</dcterms:modified>
</cp:coreProperties>
</file>